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GPC\2026\PLANEACIÓN\"/>
    </mc:Choice>
  </mc:AlternateContent>
  <bookViews>
    <workbookView xWindow="0" yWindow="0" windowWidth="28800" windowHeight="12030"/>
  </bookViews>
  <sheets>
    <sheet name="Concentrado 2026" sheetId="1" r:id="rId1"/>
  </sheets>
  <definedNames>
    <definedName name="_xlnm.Print_Area" localSheetId="0">'Concentrado 2026'!$A$1:$AF$52</definedName>
  </definedNames>
  <calcPr calcId="162913"/>
</workbook>
</file>

<file path=xl/calcChain.xml><?xml version="1.0" encoding="utf-8"?>
<calcChain xmlns="http://schemas.openxmlformats.org/spreadsheetml/2006/main">
  <c r="L24" i="1" l="1"/>
  <c r="K24" i="1"/>
  <c r="N25" i="1"/>
  <c r="M25" i="1"/>
  <c r="L25" i="1"/>
  <c r="L26" i="1" s="1"/>
  <c r="K25" i="1"/>
  <c r="K26" i="1" l="1"/>
  <c r="E24" i="1" l="1"/>
  <c r="D24" i="1"/>
  <c r="AA6" i="1" l="1"/>
  <c r="Y6" i="1"/>
  <c r="AD15" i="1"/>
  <c r="N3" i="1" l="1"/>
  <c r="M15" i="1"/>
  <c r="K15" i="1"/>
  <c r="M14" i="1"/>
  <c r="K14" i="1"/>
  <c r="E16" i="1" l="1"/>
  <c r="D16" i="1"/>
  <c r="L5" i="1" l="1"/>
  <c r="H9" i="1" l="1"/>
  <c r="J9" i="1" s="1"/>
  <c r="H10" i="1"/>
  <c r="J10" i="1" s="1"/>
  <c r="H11" i="1"/>
  <c r="J11" i="1" s="1"/>
  <c r="H12" i="1"/>
  <c r="J12" i="1" s="1"/>
  <c r="H13" i="1"/>
  <c r="J13" i="1" s="1"/>
  <c r="O9" i="1"/>
  <c r="Q9" i="1" s="1"/>
  <c r="O10" i="1"/>
  <c r="Q10" i="1" s="1"/>
  <c r="O11" i="1"/>
  <c r="Q11" i="1" s="1"/>
  <c r="O12" i="1"/>
  <c r="Q12" i="1" s="1"/>
  <c r="O13" i="1"/>
  <c r="Q13" i="1" s="1"/>
  <c r="Z34" i="1" l="1"/>
  <c r="Y34" i="1"/>
  <c r="S34" i="1"/>
  <c r="R34" i="1"/>
  <c r="AC64" i="1" l="1"/>
  <c r="AB60" i="1"/>
  <c r="AD35" i="1"/>
  <c r="AB35" i="1"/>
  <c r="AA35" i="1"/>
  <c r="Z35" i="1"/>
  <c r="Y35" i="1"/>
  <c r="AA34" i="1" l="1"/>
  <c r="Y36" i="1"/>
  <c r="Z36" i="1"/>
  <c r="W35" i="1" l="1"/>
  <c r="U35" i="1"/>
  <c r="T35" i="1"/>
  <c r="S35" i="1"/>
  <c r="S36" i="1" s="1"/>
  <c r="R35" i="1"/>
  <c r="R36" i="1" s="1"/>
  <c r="T34" i="1" l="1"/>
  <c r="L34" i="1" l="1"/>
  <c r="K34" i="1"/>
  <c r="Y45" i="1"/>
  <c r="Z45" i="1"/>
  <c r="AA45" i="1"/>
  <c r="AB45" i="1"/>
  <c r="Y46" i="1"/>
  <c r="Z46" i="1"/>
  <c r="AA46" i="1"/>
  <c r="AB46" i="1"/>
  <c r="Y47" i="1"/>
  <c r="Z47" i="1"/>
  <c r="AA47" i="1"/>
  <c r="AB47" i="1"/>
  <c r="Y48" i="1"/>
  <c r="Z48" i="1"/>
  <c r="AA48" i="1"/>
  <c r="AB48" i="1"/>
  <c r="Y49" i="1"/>
  <c r="Z49" i="1"/>
  <c r="AA49" i="1"/>
  <c r="AB49" i="1"/>
  <c r="M34" i="1" l="1"/>
  <c r="P35" i="1"/>
  <c r="N35" i="1"/>
  <c r="M35" i="1"/>
  <c r="L35" i="1"/>
  <c r="K35" i="1"/>
  <c r="L36" i="1" l="1"/>
  <c r="K36" i="1"/>
  <c r="E34" i="1" l="1"/>
  <c r="D34" i="1"/>
  <c r="Y24" i="1"/>
  <c r="H34" i="1" l="1"/>
  <c r="Z24" i="1" l="1"/>
  <c r="AC19" i="1"/>
  <c r="AA24" i="1" l="1"/>
  <c r="W25" i="1"/>
  <c r="D25" i="1" l="1"/>
  <c r="F25" i="1"/>
  <c r="E25" i="1"/>
  <c r="Y16" i="1"/>
  <c r="Z16" i="1" l="1"/>
  <c r="AC10" i="1"/>
  <c r="AE10" i="1" s="1"/>
  <c r="AB15" i="1"/>
  <c r="AA15" i="1"/>
  <c r="Z15" i="1"/>
  <c r="Y15" i="1"/>
  <c r="AC9" i="1" l="1"/>
  <c r="AE9" i="1" s="1"/>
  <c r="P15" i="1" l="1"/>
  <c r="F6" i="1" l="1"/>
  <c r="N15" i="1"/>
  <c r="L15" i="1"/>
  <c r="K16" i="1" l="1"/>
  <c r="G6" i="1"/>
  <c r="O15" i="1" l="1"/>
  <c r="F15" i="1"/>
  <c r="I15" i="1"/>
  <c r="G15" i="1"/>
  <c r="E15" i="1"/>
  <c r="D15" i="1"/>
  <c r="H20" i="1"/>
  <c r="H21" i="1"/>
  <c r="H22" i="1"/>
  <c r="H23" i="1"/>
  <c r="T46" i="1" l="1"/>
  <c r="D45" i="1"/>
  <c r="H16" i="1" l="1"/>
  <c r="AC29" i="1"/>
  <c r="AE29" i="1" l="1"/>
  <c r="Y58" i="1"/>
  <c r="Y57" i="1"/>
  <c r="Y56" i="1"/>
  <c r="Y54" i="1"/>
  <c r="Y55" i="1"/>
  <c r="AC33" i="1"/>
  <c r="AC32" i="1"/>
  <c r="AC31" i="1"/>
  <c r="AC30" i="1"/>
  <c r="AC35" i="1" l="1"/>
  <c r="G35" i="1"/>
  <c r="E35" i="1"/>
  <c r="AB25" i="1"/>
  <c r="Z25" i="1"/>
  <c r="U25" i="1"/>
  <c r="S25" i="1"/>
  <c r="I25" i="1"/>
  <c r="G25" i="1"/>
  <c r="W15" i="1"/>
  <c r="U15" i="1"/>
  <c r="S15" i="1"/>
  <c r="F35" i="1"/>
  <c r="D35" i="1"/>
  <c r="AA25" i="1"/>
  <c r="Y25" i="1"/>
  <c r="T25" i="1"/>
  <c r="R25" i="1"/>
  <c r="T15" i="1"/>
  <c r="R15" i="1"/>
  <c r="T26" i="1" l="1"/>
  <c r="R26" i="1"/>
  <c r="E26" i="1"/>
  <c r="D26" i="1"/>
  <c r="L16" i="1"/>
  <c r="M16" i="1" s="1"/>
  <c r="V29" i="1"/>
  <c r="V30" i="1"/>
  <c r="X30" i="1" s="1"/>
  <c r="V31" i="1"/>
  <c r="X31" i="1" s="1"/>
  <c r="V32" i="1"/>
  <c r="X32" i="1" s="1"/>
  <c r="V33" i="1"/>
  <c r="X33" i="1" s="1"/>
  <c r="X29" i="1" l="1"/>
  <c r="O29" i="1"/>
  <c r="O33" i="1" l="1"/>
  <c r="O32" i="1"/>
  <c r="O31" i="1"/>
  <c r="O30" i="1"/>
  <c r="O34" i="1" s="1"/>
  <c r="O35" i="1" l="1"/>
  <c r="H33" i="1"/>
  <c r="J33" i="1" s="1"/>
  <c r="U49" i="1" l="1"/>
  <c r="T49" i="1"/>
  <c r="S49" i="1"/>
  <c r="R49" i="1"/>
  <c r="N49" i="1"/>
  <c r="M49" i="1"/>
  <c r="L49" i="1"/>
  <c r="K49" i="1"/>
  <c r="G49" i="1"/>
  <c r="F49" i="1"/>
  <c r="E49" i="1"/>
  <c r="D49" i="1"/>
  <c r="U48" i="1"/>
  <c r="T48" i="1"/>
  <c r="S48" i="1"/>
  <c r="R48" i="1"/>
  <c r="N48" i="1"/>
  <c r="M48" i="1"/>
  <c r="L48" i="1"/>
  <c r="K48" i="1"/>
  <c r="G48" i="1"/>
  <c r="F48" i="1"/>
  <c r="E48" i="1"/>
  <c r="D48" i="1"/>
  <c r="U47" i="1"/>
  <c r="T47" i="1"/>
  <c r="S47" i="1"/>
  <c r="R47" i="1"/>
  <c r="N47" i="1"/>
  <c r="M47" i="1"/>
  <c r="L47" i="1"/>
  <c r="K47" i="1"/>
  <c r="G47" i="1"/>
  <c r="F47" i="1"/>
  <c r="E47" i="1"/>
  <c r="D47" i="1"/>
  <c r="U46" i="1"/>
  <c r="S46" i="1"/>
  <c r="R46" i="1"/>
  <c r="N46" i="1"/>
  <c r="M46" i="1"/>
  <c r="L46" i="1"/>
  <c r="K46" i="1"/>
  <c r="G46" i="1"/>
  <c r="F46" i="1"/>
  <c r="E46" i="1"/>
  <c r="D46" i="1"/>
  <c r="U45" i="1"/>
  <c r="T45" i="1"/>
  <c r="S45" i="1"/>
  <c r="R45" i="1"/>
  <c r="N45" i="1"/>
  <c r="M45" i="1"/>
  <c r="L45" i="1"/>
  <c r="K45" i="1"/>
  <c r="G45" i="1"/>
  <c r="F45" i="1"/>
  <c r="E45" i="1"/>
  <c r="Q33" i="1"/>
  <c r="H32" i="1"/>
  <c r="J32" i="1" s="1"/>
  <c r="AE31" i="1"/>
  <c r="Q31" i="1"/>
  <c r="H31" i="1"/>
  <c r="J31" i="1" s="1"/>
  <c r="AE30" i="1"/>
  <c r="H30" i="1"/>
  <c r="J30" i="1" s="1"/>
  <c r="Q29" i="1"/>
  <c r="H29" i="1"/>
  <c r="J29" i="1" s="1"/>
  <c r="AC23" i="1"/>
  <c r="AE23" i="1" s="1"/>
  <c r="V23" i="1"/>
  <c r="X23" i="1" s="1"/>
  <c r="O23" i="1"/>
  <c r="Q23" i="1" s="1"/>
  <c r="J23" i="1"/>
  <c r="AC22" i="1"/>
  <c r="AE22" i="1" s="1"/>
  <c r="V22" i="1"/>
  <c r="X22" i="1" s="1"/>
  <c r="O22" i="1"/>
  <c r="Q22" i="1" s="1"/>
  <c r="J22" i="1"/>
  <c r="AC21" i="1"/>
  <c r="AE21" i="1" s="1"/>
  <c r="V21" i="1"/>
  <c r="X21" i="1" s="1"/>
  <c r="O21" i="1"/>
  <c r="Q21" i="1" s="1"/>
  <c r="J21" i="1"/>
  <c r="AC20" i="1"/>
  <c r="AE20" i="1" s="1"/>
  <c r="V20" i="1"/>
  <c r="X20" i="1" s="1"/>
  <c r="O20" i="1"/>
  <c r="Q20" i="1" s="1"/>
  <c r="J20" i="1"/>
  <c r="AE19" i="1"/>
  <c r="V19" i="1"/>
  <c r="O19" i="1"/>
  <c r="Q19" i="1" s="1"/>
  <c r="H19" i="1"/>
  <c r="J19" i="1" s="1"/>
  <c r="AC13" i="1"/>
  <c r="AE13" i="1" s="1"/>
  <c r="V13" i="1"/>
  <c r="AC12" i="1"/>
  <c r="AE12" i="1" s="1"/>
  <c r="V12" i="1"/>
  <c r="X12" i="1" s="1"/>
  <c r="AC11" i="1"/>
  <c r="AE11" i="1" s="1"/>
  <c r="V11" i="1"/>
  <c r="X11" i="1" s="1"/>
  <c r="V10" i="1"/>
  <c r="X10" i="1" s="1"/>
  <c r="V9" i="1"/>
  <c r="X9" i="1" s="1"/>
  <c r="S55" i="1" l="1"/>
  <c r="Q55" i="1"/>
  <c r="R57" i="1"/>
  <c r="R55" i="1"/>
  <c r="S57" i="1"/>
  <c r="T55" i="1"/>
  <c r="T57" i="1"/>
  <c r="Q56" i="1"/>
  <c r="Q58" i="1"/>
  <c r="Q54" i="1"/>
  <c r="R56" i="1"/>
  <c r="R58" i="1"/>
  <c r="R54" i="1"/>
  <c r="S56" i="1"/>
  <c r="S58" i="1"/>
  <c r="S54" i="1"/>
  <c r="T56" i="1"/>
  <c r="T58" i="1"/>
  <c r="T54" i="1"/>
  <c r="Q57" i="1"/>
  <c r="X13" i="1"/>
  <c r="X15" i="1" s="1"/>
  <c r="H15" i="1"/>
  <c r="Q46" i="1"/>
  <c r="Q47" i="1"/>
  <c r="J47" i="1"/>
  <c r="J49" i="1"/>
  <c r="J48" i="1"/>
  <c r="AF48" i="1" s="1"/>
  <c r="J46" i="1"/>
  <c r="Q49" i="1"/>
  <c r="H25" i="1"/>
  <c r="Q48" i="1"/>
  <c r="X49" i="1"/>
  <c r="X46" i="1"/>
  <c r="X48" i="1"/>
  <c r="X47" i="1"/>
  <c r="AE32" i="1"/>
  <c r="AD50" i="1"/>
  <c r="Q30" i="1"/>
  <c r="V25" i="1"/>
  <c r="V26" i="1" s="1"/>
  <c r="AE33" i="1"/>
  <c r="Q32" i="1"/>
  <c r="V15" i="1"/>
  <c r="J25" i="1"/>
  <c r="I50" i="1"/>
  <c r="J35" i="1"/>
  <c r="H35" i="1"/>
  <c r="H36" i="1" s="1"/>
  <c r="W50" i="1"/>
  <c r="X35" i="1"/>
  <c r="AE25" i="1"/>
  <c r="AE15" i="1"/>
  <c r="Q25" i="1"/>
  <c r="P50" i="1"/>
  <c r="AC15" i="1"/>
  <c r="AC25" i="1"/>
  <c r="AC26" i="1" s="1"/>
  <c r="J15" i="1"/>
  <c r="X19" i="1"/>
  <c r="X25" i="1" s="1"/>
  <c r="O25" i="1"/>
  <c r="Q15" i="1"/>
  <c r="AF47" i="1" l="1"/>
  <c r="AF49" i="1"/>
  <c r="AF46" i="1"/>
  <c r="Q45" i="1"/>
  <c r="O50" i="1"/>
  <c r="V55" i="1"/>
  <c r="W57" i="1"/>
  <c r="U55" i="1"/>
  <c r="W54" i="1"/>
  <c r="R59" i="1"/>
  <c r="W58" i="1"/>
  <c r="V54" i="1"/>
  <c r="U57" i="1"/>
  <c r="U64" i="1" s="1"/>
  <c r="V64" i="1" s="1"/>
  <c r="V57" i="1"/>
  <c r="W56" i="1"/>
  <c r="U56" i="1"/>
  <c r="U63" i="1" s="1"/>
  <c r="V63" i="1" s="1"/>
  <c r="V56" i="1"/>
  <c r="W55" i="1"/>
  <c r="X55" i="1" s="1"/>
  <c r="Z55" i="1" s="1"/>
  <c r="AC55" i="1" s="1"/>
  <c r="AE63" i="1" s="1"/>
  <c r="U58" i="1"/>
  <c r="Q59" i="1"/>
  <c r="V58" i="1"/>
  <c r="T59" i="1"/>
  <c r="S59" i="1"/>
  <c r="U54" i="1"/>
  <c r="U62" i="1" s="1"/>
  <c r="V62" i="1" s="1"/>
  <c r="Q35" i="1"/>
  <c r="V50" i="1"/>
  <c r="H50" i="1"/>
  <c r="J45" i="1"/>
  <c r="X45" i="1"/>
  <c r="X50" i="1" s="1"/>
  <c r="AE35" i="1"/>
  <c r="AC50" i="1"/>
  <c r="Q50" i="1"/>
  <c r="J50" i="1" l="1"/>
  <c r="AF45" i="1"/>
  <c r="AF50" i="1" s="1"/>
  <c r="X58" i="1"/>
  <c r="Z58" i="1" s="1"/>
  <c r="W60" i="1"/>
  <c r="V60" i="1"/>
  <c r="W59" i="1"/>
  <c r="X57" i="1"/>
  <c r="Z57" i="1" s="1"/>
  <c r="X54" i="1"/>
  <c r="Z54" i="1" s="1"/>
  <c r="AC54" i="1" s="1"/>
  <c r="AE62" i="1" s="1"/>
  <c r="AC58" i="1"/>
  <c r="AE66" i="1" s="1"/>
  <c r="U60" i="1"/>
  <c r="X56" i="1"/>
  <c r="Z56" i="1" s="1"/>
  <c r="AC56" i="1" s="1"/>
  <c r="AE64" i="1" s="1"/>
  <c r="V59" i="1"/>
  <c r="U59" i="1"/>
  <c r="AE50" i="1"/>
  <c r="AC57" i="1" l="1"/>
  <c r="AE65" i="1" s="1"/>
  <c r="X60" i="1"/>
  <c r="X59" i="1"/>
  <c r="Z60" i="1"/>
  <c r="AC60" i="1" s="1"/>
  <c r="V35" i="1" l="1"/>
</calcChain>
</file>

<file path=xl/sharedStrings.xml><?xml version="1.0" encoding="utf-8"?>
<sst xmlns="http://schemas.openxmlformats.org/spreadsheetml/2006/main" count="193" uniqueCount="68">
  <si>
    <t xml:space="preserve">REPORTE DE VISITANTES </t>
  </si>
  <si>
    <t>FEBRERO</t>
  </si>
  <si>
    <t>MARZO</t>
  </si>
  <si>
    <t>CAÑADA DE LA VIRGEN</t>
  </si>
  <si>
    <t>EL CÓPORO</t>
  </si>
  <si>
    <t xml:space="preserve"> </t>
  </si>
  <si>
    <t xml:space="preserve">PLAZUELAS </t>
  </si>
  <si>
    <t xml:space="preserve">PERALTA </t>
  </si>
  <si>
    <t xml:space="preserve">ARROYO SECO </t>
  </si>
  <si>
    <t xml:space="preserve">AGOSTO </t>
  </si>
  <si>
    <t xml:space="preserve">NOVIEMBRE </t>
  </si>
  <si>
    <t xml:space="preserve">SITIO </t>
  </si>
  <si>
    <t xml:space="preserve">ENERO </t>
  </si>
  <si>
    <t>ABRIL</t>
  </si>
  <si>
    <t>NIÑA</t>
  </si>
  <si>
    <t xml:space="preserve">NIÑO </t>
  </si>
  <si>
    <t>MUJER</t>
  </si>
  <si>
    <t>HOMBRE</t>
  </si>
  <si>
    <t xml:space="preserve">PRESENCIAL </t>
  </si>
  <si>
    <t xml:space="preserve">VIRTUAL </t>
  </si>
  <si>
    <t xml:space="preserve">TOTAL </t>
  </si>
  <si>
    <t>MAYO</t>
  </si>
  <si>
    <t>JUNIO</t>
  </si>
  <si>
    <t>JULIO</t>
  </si>
  <si>
    <t>SEPTIEMBRE</t>
  </si>
  <si>
    <t xml:space="preserve">OCTUBRE </t>
  </si>
  <si>
    <t>DICIEMBRE</t>
  </si>
  <si>
    <t xml:space="preserve">REPORTE TRIMESTRAL DE VISITANTES </t>
  </si>
  <si>
    <t xml:space="preserve">PRIMER TRIMESTRE </t>
  </si>
  <si>
    <t>SEGUNDO TRIMESTRE</t>
  </si>
  <si>
    <t xml:space="preserve">CUARTO TRIMESTRE </t>
  </si>
  <si>
    <t xml:space="preserve">MUJER </t>
  </si>
  <si>
    <t>PRESENCIAL</t>
  </si>
  <si>
    <t>VIRTUAL</t>
  </si>
  <si>
    <t xml:space="preserve"> TOTAL </t>
  </si>
  <si>
    <t>Peralta</t>
  </si>
  <si>
    <t>Q14</t>
  </si>
  <si>
    <t>Q15</t>
  </si>
  <si>
    <t>Q17</t>
  </si>
  <si>
    <t>Q18</t>
  </si>
  <si>
    <t>Q19</t>
  </si>
  <si>
    <t>DIRECCIÓN DE PATRIMONIO CULTURAL</t>
  </si>
  <si>
    <t>NIÑO</t>
  </si>
  <si>
    <t>MUJ</t>
  </si>
  <si>
    <t>HOM</t>
  </si>
  <si>
    <t>PRESENC</t>
  </si>
  <si>
    <t>GRAL MUJ</t>
  </si>
  <si>
    <t>GRAL HOM</t>
  </si>
  <si>
    <t>virt</t>
  </si>
  <si>
    <t>CV</t>
  </si>
  <si>
    <t>CÓPORO</t>
  </si>
  <si>
    <t>PLAZ</t>
  </si>
  <si>
    <t>PERALTA</t>
  </si>
  <si>
    <t>A S</t>
  </si>
  <si>
    <t>CÓP</t>
  </si>
  <si>
    <t>PER</t>
  </si>
  <si>
    <t>AS</t>
  </si>
  <si>
    <t>%</t>
  </si>
  <si>
    <t>vis tot 2024</t>
  </si>
  <si>
    <t>SED / IGTO 2025</t>
  </si>
  <si>
    <t xml:space="preserve">CAÑADA </t>
  </si>
  <si>
    <t xml:space="preserve">TERCER TRIMESTRE </t>
  </si>
  <si>
    <t>meta 25</t>
  </si>
  <si>
    <t>cañada</t>
  </si>
  <si>
    <t>plazuelas</t>
  </si>
  <si>
    <t>TOTALES</t>
  </si>
  <si>
    <t>TOTAL</t>
  </si>
  <si>
    <t>enero-septiembre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</si>
</sst>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2E75B5"/>
      <name val="Calibri"/>
      <family val="2"/>
    </font>
    <font>
      <sz val="16"/>
      <color theme="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</font>
    <font>
      <b/>
      <u/>
      <sz val="11"/>
      <color rgb="FFC0000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0"/>
      <name val="Calibri"/>
      <family val="2"/>
    </font>
    <font>
      <b/>
      <sz val="11"/>
      <color rgb="FFC00000"/>
      <name val="Calibri"/>
      <family val="2"/>
    </font>
    <font>
      <sz val="11"/>
      <color theme="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</font>
    <font>
      <b/>
      <sz val="11"/>
      <color rgb="FFCC0099"/>
      <name val="Calibri"/>
      <family val="2"/>
    </font>
    <font>
      <b/>
      <sz val="11"/>
      <color theme="8" tint="-0.249977111117893"/>
      <name val="Calibri"/>
      <family val="2"/>
    </font>
    <font>
      <sz val="9"/>
      <color theme="1"/>
      <name val="Calibri"/>
      <family val="2"/>
    </font>
    <font>
      <b/>
      <sz val="11"/>
      <color rgb="FF0070C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4"/>
      <color rgb="FFC00000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DB9CA"/>
        <bgColor rgb="FFADB9CA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AEABAB"/>
        <bgColor rgb="FFAEABAB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theme="0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4" tint="0.59999389629810485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theme="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theme="0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11" fillId="0" borderId="0" xfId="0" applyFont="1"/>
    <xf numFmtId="0" fontId="12" fillId="2" borderId="1" xfId="0" applyFont="1" applyFill="1" applyBorder="1"/>
    <xf numFmtId="0" fontId="13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4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9" fillId="3" borderId="1" xfId="0" applyFont="1" applyFill="1" applyBorder="1"/>
    <xf numFmtId="0" fontId="17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16" fillId="5" borderId="1" xfId="0" applyFont="1" applyFill="1" applyBorder="1"/>
    <xf numFmtId="0" fontId="16" fillId="4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0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22" fillId="2" borderId="1" xfId="0" applyFont="1" applyFill="1" applyBorder="1" applyAlignment="1">
      <alignment horizontal="center" vertical="center"/>
    </xf>
    <xf numFmtId="0" fontId="17" fillId="0" borderId="0" xfId="0" applyFont="1"/>
    <xf numFmtId="0" fontId="5" fillId="0" borderId="1" xfId="0" applyFont="1" applyBorder="1"/>
    <xf numFmtId="0" fontId="5" fillId="2" borderId="9" xfId="0" applyFont="1" applyFill="1" applyBorder="1"/>
    <xf numFmtId="0" fontId="24" fillId="8" borderId="0" xfId="0" applyFont="1" applyFill="1" applyAlignment="1">
      <alignment horizontal="center" vertical="center"/>
    </xf>
    <xf numFmtId="0" fontId="25" fillId="9" borderId="0" xfId="0" applyFont="1" applyFill="1"/>
    <xf numFmtId="0" fontId="24" fillId="8" borderId="0" xfId="0" applyFont="1" applyFill="1"/>
    <xf numFmtId="0" fontId="26" fillId="8" borderId="0" xfId="0" applyFont="1" applyFill="1"/>
    <xf numFmtId="0" fontId="24" fillId="0" borderId="0" xfId="0" applyFont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4" fillId="10" borderId="1" xfId="0" applyFont="1" applyFill="1" applyBorder="1"/>
    <xf numFmtId="0" fontId="5" fillId="2" borderId="1" xfId="0" applyFont="1" applyFill="1" applyBorder="1" applyAlignment="1">
      <alignment horizontal="right" indent="1"/>
    </xf>
    <xf numFmtId="0" fontId="27" fillId="11" borderId="0" xfId="0" applyFont="1" applyFill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/>
    <xf numFmtId="0" fontId="12" fillId="0" borderId="1" xfId="0" applyFont="1" applyBorder="1"/>
    <xf numFmtId="0" fontId="5" fillId="12" borderId="1" xfId="0" applyFont="1" applyFill="1" applyBorder="1"/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14" borderId="1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10" fillId="7" borderId="10" xfId="0" applyFont="1" applyFill="1" applyBorder="1"/>
    <xf numFmtId="0" fontId="5" fillId="2" borderId="10" xfId="0" applyFont="1" applyFill="1" applyBorder="1"/>
    <xf numFmtId="0" fontId="12" fillId="2" borderId="10" xfId="0" applyFont="1" applyFill="1" applyBorder="1"/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/>
    </xf>
    <xf numFmtId="0" fontId="10" fillId="2" borderId="10" xfId="0" applyFont="1" applyFill="1" applyBorder="1"/>
    <xf numFmtId="0" fontId="14" fillId="2" borderId="10" xfId="0" applyFont="1" applyFill="1" applyBorder="1"/>
    <xf numFmtId="0" fontId="18" fillId="2" borderId="10" xfId="0" applyFont="1" applyFill="1" applyBorder="1" applyAlignment="1">
      <alignment horizontal="center"/>
    </xf>
    <xf numFmtId="0" fontId="19" fillId="12" borderId="10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13" fillId="2" borderId="10" xfId="0" applyFont="1" applyFill="1" applyBorder="1"/>
    <xf numFmtId="0" fontId="29" fillId="2" borderId="1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/>
    </xf>
    <xf numFmtId="0" fontId="5" fillId="15" borderId="1" xfId="0" applyFont="1" applyFill="1" applyBorder="1"/>
    <xf numFmtId="0" fontId="5" fillId="0" borderId="1" xfId="0" applyFont="1" applyFill="1" applyBorder="1"/>
    <xf numFmtId="0" fontId="29" fillId="0" borderId="1" xfId="0" applyFont="1" applyFill="1" applyBorder="1"/>
    <xf numFmtId="0" fontId="30" fillId="0" borderId="1" xfId="0" applyFont="1" applyFill="1" applyBorder="1"/>
    <xf numFmtId="0" fontId="16" fillId="0" borderId="1" xfId="0" applyFont="1" applyFill="1" applyBorder="1"/>
    <xf numFmtId="0" fontId="12" fillId="0" borderId="1" xfId="0" applyFont="1" applyFill="1" applyBorder="1"/>
    <xf numFmtId="0" fontId="28" fillId="0" borderId="1" xfId="0" applyFont="1" applyFill="1" applyBorder="1"/>
    <xf numFmtId="0" fontId="31" fillId="0" borderId="1" xfId="0" applyFont="1" applyFill="1" applyBorder="1"/>
    <xf numFmtId="0" fontId="20" fillId="0" borderId="1" xfId="0" applyFont="1" applyFill="1" applyBorder="1"/>
    <xf numFmtId="0" fontId="0" fillId="0" borderId="0" xfId="0"/>
    <xf numFmtId="0" fontId="0" fillId="0" borderId="11" xfId="0" applyBorder="1"/>
    <xf numFmtId="0" fontId="4" fillId="0" borderId="11" xfId="0" applyFont="1" applyBorder="1"/>
    <xf numFmtId="0" fontId="4" fillId="0" borderId="12" xfId="0" applyFont="1" applyBorder="1"/>
    <xf numFmtId="0" fontId="33" fillId="0" borderId="11" xfId="0" applyFont="1" applyBorder="1"/>
    <xf numFmtId="0" fontId="33" fillId="0" borderId="12" xfId="0" applyFont="1" applyBorder="1"/>
    <xf numFmtId="0" fontId="33" fillId="0" borderId="12" xfId="0" applyFont="1" applyFill="1" applyBorder="1"/>
    <xf numFmtId="2" fontId="34" fillId="0" borderId="0" xfId="0" applyNumberFormat="1" applyFont="1"/>
    <xf numFmtId="0" fontId="3" fillId="0" borderId="0" xfId="0" applyFont="1"/>
    <xf numFmtId="0" fontId="27" fillId="16" borderId="9" xfId="0" applyFont="1" applyFill="1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9" xfId="0" applyFill="1" applyBorder="1" applyAlignment="1">
      <alignment horizontal="center"/>
    </xf>
    <xf numFmtId="0" fontId="2" fillId="0" borderId="12" xfId="0" applyFont="1" applyFill="1" applyBorder="1"/>
    <xf numFmtId="0" fontId="0" fillId="17" borderId="11" xfId="0" applyFill="1" applyBorder="1"/>
    <xf numFmtId="0" fontId="0" fillId="17" borderId="12" xfId="0" applyFill="1" applyBorder="1"/>
    <xf numFmtId="0" fontId="0" fillId="18" borderId="11" xfId="0" applyFill="1" applyBorder="1"/>
    <xf numFmtId="0" fontId="0" fillId="18" borderId="12" xfId="0" applyFill="1" applyBorder="1"/>
    <xf numFmtId="0" fontId="0" fillId="17" borderId="13" xfId="0" applyFill="1" applyBorder="1"/>
    <xf numFmtId="0" fontId="35" fillId="2" borderId="1" xfId="0" applyFont="1" applyFill="1" applyBorder="1"/>
    <xf numFmtId="164" fontId="5" fillId="2" borderId="1" xfId="0" applyNumberFormat="1" applyFont="1" applyFill="1" applyBorder="1"/>
    <xf numFmtId="0" fontId="32" fillId="2" borderId="10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31" fillId="17" borderId="1" xfId="0" applyFont="1" applyFill="1" applyBorder="1"/>
    <xf numFmtId="0" fontId="5" fillId="9" borderId="1" xfId="0" applyFont="1" applyFill="1" applyBorder="1"/>
    <xf numFmtId="0" fontId="1" fillId="0" borderId="11" xfId="0" applyFont="1" applyBorder="1"/>
    <xf numFmtId="0" fontId="27" fillId="19" borderId="12" xfId="0" applyFont="1" applyFill="1" applyBorder="1"/>
    <xf numFmtId="0" fontId="0" fillId="0" borderId="0" xfId="0"/>
    <xf numFmtId="0" fontId="0" fillId="0" borderId="0" xfId="0"/>
    <xf numFmtId="0" fontId="10" fillId="20" borderId="1" xfId="0" applyFont="1" applyFill="1" applyBorder="1"/>
    <xf numFmtId="0" fontId="10" fillId="14" borderId="1" xfId="0" applyFont="1" applyFill="1" applyBorder="1"/>
    <xf numFmtId="0" fontId="5" fillId="2" borderId="11" xfId="0" applyFont="1" applyFill="1" applyBorder="1"/>
    <xf numFmtId="0" fontId="10" fillId="7" borderId="11" xfId="0" applyFont="1" applyFill="1" applyBorder="1" applyAlignment="1">
      <alignment horizontal="center"/>
    </xf>
    <xf numFmtId="0" fontId="8" fillId="0" borderId="11" xfId="0" applyFont="1" applyBorder="1"/>
    <xf numFmtId="0" fontId="23" fillId="0" borderId="11" xfId="0" applyFont="1" applyBorder="1"/>
    <xf numFmtId="0" fontId="11" fillId="0" borderId="11" xfId="0" applyFont="1" applyBorder="1"/>
    <xf numFmtId="0" fontId="5" fillId="7" borderId="11" xfId="0" applyFont="1" applyFill="1" applyBorder="1"/>
    <xf numFmtId="0" fontId="5" fillId="0" borderId="11" xfId="0" applyFont="1" applyBorder="1" applyAlignment="1">
      <alignment horizontal="center"/>
    </xf>
    <xf numFmtId="0" fontId="23" fillId="0" borderId="11" xfId="0" applyFont="1" applyFill="1" applyBorder="1"/>
    <xf numFmtId="0" fontId="11" fillId="0" borderId="11" xfId="0" applyFont="1" applyFill="1" applyBorder="1"/>
    <xf numFmtId="0" fontId="14" fillId="2" borderId="11" xfId="0" applyFont="1" applyFill="1" applyBorder="1"/>
    <xf numFmtId="0" fontId="21" fillId="2" borderId="11" xfId="0" applyFont="1" applyFill="1" applyBorder="1"/>
    <xf numFmtId="0" fontId="36" fillId="4" borderId="1" xfId="0" applyFont="1" applyFill="1" applyBorder="1" applyAlignment="1">
      <alignment horizontal="center"/>
    </xf>
    <xf numFmtId="0" fontId="8" fillId="0" borderId="11" xfId="0" applyFont="1" applyFill="1" applyBorder="1"/>
    <xf numFmtId="0" fontId="36" fillId="5" borderId="1" xfId="0" applyFont="1" applyFill="1" applyBorder="1"/>
    <xf numFmtId="0" fontId="36" fillId="4" borderId="1" xfId="0" applyFont="1" applyFill="1" applyBorder="1"/>
    <xf numFmtId="0" fontId="8" fillId="0" borderId="1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2" borderId="11" xfId="0" applyFont="1" applyFill="1" applyBorder="1"/>
    <xf numFmtId="0" fontId="15" fillId="22" borderId="11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8" fillId="0" borderId="6" xfId="0" applyFont="1" applyBorder="1"/>
    <xf numFmtId="0" fontId="10" fillId="0" borderId="11" xfId="0" applyFont="1" applyBorder="1" applyAlignment="1">
      <alignment horizontal="center"/>
    </xf>
    <xf numFmtId="0" fontId="0" fillId="0" borderId="11" xfId="0" applyBorder="1"/>
    <xf numFmtId="17" fontId="9" fillId="3" borderId="4" xfId="0" applyNumberFormat="1" applyFont="1" applyFill="1" applyBorder="1" applyAlignment="1">
      <alignment horizontal="center"/>
    </xf>
    <xf numFmtId="0" fontId="8" fillId="0" borderId="5" xfId="0" applyFont="1" applyBorder="1"/>
    <xf numFmtId="0" fontId="9" fillId="3" borderId="4" xfId="0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 vertical="center" wrapText="1"/>
    </xf>
    <xf numFmtId="0" fontId="8" fillId="0" borderId="3" xfId="0" applyFont="1" applyBorder="1"/>
    <xf numFmtId="0" fontId="8" fillId="0" borderId="7" xfId="0" applyFont="1" applyBorder="1"/>
    <xf numFmtId="0" fontId="8" fillId="0" borderId="8" xfId="0" applyFont="1" applyBorder="1"/>
    <xf numFmtId="0" fontId="10" fillId="2" borderId="10" xfId="0" applyFont="1" applyFill="1" applyBorder="1" applyAlignment="1">
      <alignment horizontal="center"/>
    </xf>
    <xf numFmtId="0" fontId="8" fillId="0" borderId="10" xfId="0" applyFont="1" applyBorder="1"/>
    <xf numFmtId="0" fontId="14" fillId="2" borderId="11" xfId="0" applyFont="1" applyFill="1" applyBorder="1" applyAlignment="1">
      <alignment horizontal="center"/>
    </xf>
    <xf numFmtId="0" fontId="17" fillId="3" borderId="4" xfId="0" applyFont="1" applyFill="1" applyBorder="1" applyAlignment="1">
      <alignment horizontal="center"/>
    </xf>
    <xf numFmtId="0" fontId="37" fillId="21" borderId="0" xfId="0" applyFont="1" applyFill="1" applyAlignment="1">
      <alignment horizontal="center"/>
    </xf>
    <xf numFmtId="0" fontId="37" fillId="21" borderId="11" xfId="0" applyFont="1" applyFill="1" applyBorder="1" applyAlignment="1">
      <alignment horizontal="center"/>
    </xf>
    <xf numFmtId="0" fontId="38" fillId="2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CC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37</xdr:row>
      <xdr:rowOff>66676</xdr:rowOff>
    </xdr:from>
    <xdr:to>
      <xdr:col>7</xdr:col>
      <xdr:colOff>709180</xdr:colOff>
      <xdr:row>41</xdr:row>
      <xdr:rowOff>16454</xdr:rowOff>
    </xdr:to>
    <xdr:pic>
      <xdr:nvPicPr>
        <xdr:cNvPr id="5" name="Imagen 4" descr="C:\Users\IECG\AppData\Local\Packages\Microsoft.Windows.Photos_8wekyb3d8bbwe\TempState\ShareServiceTempFolder\unnamed.jpeg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420" b="-1299"/>
        <a:stretch/>
      </xdr:blipFill>
      <xdr:spPr bwMode="auto">
        <a:xfrm>
          <a:off x="219075" y="7648576"/>
          <a:ext cx="2033155" cy="7498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39"/>
  <sheetViews>
    <sheetView tabSelected="1" topLeftCell="A38" zoomScale="160" zoomScaleNormal="160" zoomScaleSheetLayoutView="130" zoomScalePageLayoutView="40" workbookViewId="0">
      <selection activeCell="A52" sqref="A52"/>
    </sheetView>
  </sheetViews>
  <sheetFormatPr baseColWidth="10" defaultColWidth="14.42578125" defaultRowHeight="15" customHeight="1" x14ac:dyDescent="0.25"/>
  <cols>
    <col min="1" max="1" width="1.7109375" customWidth="1"/>
    <col min="2" max="3" width="10.7109375" customWidth="1"/>
    <col min="4" max="7" width="10.7109375" hidden="1" customWidth="1"/>
    <col min="8" max="10" width="10.7109375" customWidth="1"/>
    <col min="11" max="14" width="10.7109375" hidden="1" customWidth="1"/>
    <col min="15" max="17" width="10.7109375" customWidth="1"/>
    <col min="18" max="21" width="10.7109375" hidden="1" customWidth="1"/>
    <col min="22" max="24" width="10.7109375" customWidth="1"/>
    <col min="25" max="31" width="10.7109375" hidden="1" customWidth="1"/>
    <col min="32" max="32" width="10.42578125" customWidth="1"/>
    <col min="33" max="34" width="14.42578125" customWidth="1"/>
    <col min="35" max="35" width="9.7109375" customWidth="1"/>
    <col min="36" max="36" width="10.7109375" customWidth="1"/>
    <col min="37" max="37" width="11.42578125" customWidth="1"/>
  </cols>
  <sheetData>
    <row r="1" spans="1:37" ht="15.75" hidden="1" customHeight="1" x14ac:dyDescent="0.25">
      <c r="B1" s="1"/>
      <c r="C1" s="1"/>
      <c r="D1" s="1"/>
      <c r="E1" s="1"/>
      <c r="F1" s="1"/>
      <c r="G1" s="1"/>
      <c r="H1" s="1"/>
      <c r="I1" s="1"/>
      <c r="J1" s="67"/>
      <c r="K1" s="67"/>
      <c r="L1" s="68"/>
      <c r="M1" s="67"/>
      <c r="N1" s="69"/>
      <c r="O1" s="67"/>
      <c r="P1" s="67"/>
      <c r="Q1" s="67"/>
      <c r="R1" s="67"/>
      <c r="S1" s="68"/>
      <c r="T1" s="67"/>
      <c r="U1" s="69"/>
      <c r="V1" s="67"/>
      <c r="W1" s="70"/>
      <c r="X1" s="67"/>
      <c r="Y1" s="67"/>
      <c r="Z1" s="68"/>
      <c r="AA1" s="67"/>
      <c r="AB1" s="69"/>
      <c r="AC1" s="67"/>
      <c r="AD1" s="70"/>
      <c r="AE1" s="67"/>
      <c r="AF1" s="68"/>
      <c r="AG1" s="67"/>
      <c r="AH1" s="69"/>
      <c r="AI1" s="67"/>
      <c r="AJ1" s="70"/>
      <c r="AK1" s="67"/>
    </row>
    <row r="2" spans="1:37" ht="15.75" hidden="1" customHeight="1" x14ac:dyDescent="0.25">
      <c r="B2" s="1"/>
      <c r="C2" s="1"/>
      <c r="D2" s="1"/>
      <c r="E2" s="1"/>
      <c r="F2" s="1"/>
      <c r="G2" s="1"/>
      <c r="H2" s="1"/>
      <c r="I2" s="1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71"/>
      <c r="X2" s="67"/>
      <c r="Y2" s="67"/>
      <c r="Z2" s="67"/>
      <c r="AA2" s="67"/>
      <c r="AB2" s="67"/>
      <c r="AC2" s="67"/>
      <c r="AD2" s="71"/>
      <c r="AE2" s="67"/>
      <c r="AF2" s="67"/>
      <c r="AG2" s="67"/>
      <c r="AH2" s="67"/>
      <c r="AI2" s="67"/>
      <c r="AJ2" s="71"/>
      <c r="AK2" s="67"/>
    </row>
    <row r="3" spans="1:37" ht="15.75" hidden="1" customHeight="1" x14ac:dyDescent="0.35">
      <c r="B3" s="1"/>
      <c r="C3" s="1"/>
      <c r="E3" s="2" t="s">
        <v>41</v>
      </c>
      <c r="F3" s="3"/>
      <c r="G3" s="3"/>
      <c r="H3" s="3"/>
      <c r="I3" s="3"/>
      <c r="J3" s="67"/>
      <c r="K3" s="67"/>
      <c r="L3" s="67">
        <v>12952</v>
      </c>
      <c r="M3" s="67"/>
      <c r="N3" s="67">
        <f>100/12</f>
        <v>8.3333333333333339</v>
      </c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</row>
    <row r="4" spans="1:37" ht="15.75" hidden="1" customHeight="1" x14ac:dyDescent="0.35">
      <c r="B4" s="1"/>
      <c r="C4" s="1"/>
      <c r="E4" s="2" t="s">
        <v>0</v>
      </c>
      <c r="F4" s="3"/>
      <c r="G4" s="3"/>
      <c r="H4" s="3"/>
      <c r="I4" s="3"/>
      <c r="J4" s="67"/>
      <c r="K4" s="67"/>
      <c r="L4" s="67">
        <v>2993</v>
      </c>
      <c r="M4" s="68"/>
      <c r="N4" s="69"/>
      <c r="O4" s="67"/>
      <c r="P4" s="67"/>
      <c r="Q4" s="67"/>
      <c r="R4" s="67"/>
      <c r="S4" s="67"/>
      <c r="T4" s="68"/>
      <c r="U4" s="69"/>
      <c r="V4" s="67"/>
      <c r="W4" s="67"/>
      <c r="X4" s="67"/>
      <c r="Y4" s="67"/>
      <c r="Z4" s="67"/>
      <c r="AA4" s="68"/>
      <c r="AB4" s="69"/>
      <c r="AC4" s="67"/>
      <c r="AD4" s="67"/>
      <c r="AE4" s="67"/>
      <c r="AF4" s="67"/>
      <c r="AG4" s="68"/>
      <c r="AH4" s="69"/>
      <c r="AI4" s="67"/>
      <c r="AJ4" s="67"/>
      <c r="AK4" s="67"/>
    </row>
    <row r="5" spans="1:37" ht="15.75" hidden="1" customHeight="1" x14ac:dyDescent="0.35">
      <c r="B5" s="1"/>
      <c r="C5" s="1"/>
      <c r="E5" s="2" t="s">
        <v>59</v>
      </c>
      <c r="F5" s="3"/>
      <c r="G5" s="3"/>
      <c r="H5" s="3"/>
      <c r="I5" s="3"/>
      <c r="J5" s="67"/>
      <c r="K5" s="72"/>
      <c r="L5" s="72">
        <f>L3+L4</f>
        <v>15945</v>
      </c>
      <c r="M5" s="72"/>
      <c r="N5" s="72"/>
      <c r="O5" s="67"/>
      <c r="P5" s="67"/>
      <c r="Q5" s="73"/>
      <c r="R5" s="72"/>
      <c r="S5" s="72"/>
      <c r="T5" s="72"/>
      <c r="U5" s="72"/>
      <c r="V5" s="67"/>
      <c r="W5" s="67"/>
      <c r="X5" s="73"/>
      <c r="Y5" s="72"/>
      <c r="Z5" s="72"/>
      <c r="AA5" s="72"/>
      <c r="AB5" s="72"/>
      <c r="AC5" s="67"/>
      <c r="AD5" s="67"/>
      <c r="AE5" s="67"/>
      <c r="AF5" s="72"/>
      <c r="AG5" s="72"/>
      <c r="AH5" s="72"/>
      <c r="AI5" s="67"/>
      <c r="AJ5" s="67"/>
      <c r="AK5" s="67"/>
    </row>
    <row r="6" spans="1:37" ht="15.75" hidden="1" customHeight="1" x14ac:dyDescent="0.25">
      <c r="B6" s="1"/>
      <c r="C6" s="1"/>
      <c r="D6" s="1"/>
      <c r="E6" s="1"/>
      <c r="F6" s="47">
        <f>D13+F13</f>
        <v>89</v>
      </c>
      <c r="G6" s="50">
        <f>E13+G13</f>
        <v>90</v>
      </c>
      <c r="H6" s="1"/>
      <c r="I6" s="1"/>
      <c r="J6" s="67"/>
      <c r="K6" s="67"/>
      <c r="L6" s="67"/>
      <c r="M6" s="67"/>
      <c r="N6" s="67"/>
      <c r="O6" s="67"/>
      <c r="P6" s="67"/>
      <c r="Q6" s="67"/>
      <c r="R6" s="73"/>
      <c r="S6" s="67"/>
      <c r="T6" s="67"/>
      <c r="U6" s="67"/>
      <c r="V6" s="67"/>
      <c r="W6" s="74"/>
      <c r="X6" s="74"/>
      <c r="Y6" s="102">
        <f>Y13+AA13</f>
        <v>111</v>
      </c>
      <c r="Z6" s="67"/>
      <c r="AA6" s="103">
        <f>Z13+AB13</f>
        <v>72</v>
      </c>
      <c r="AB6" s="67"/>
      <c r="AC6" s="67"/>
      <c r="AD6" s="67"/>
      <c r="AE6" s="67"/>
      <c r="AF6" s="67"/>
      <c r="AG6" s="67"/>
      <c r="AH6" s="67"/>
      <c r="AI6" s="67"/>
      <c r="AJ6" s="67"/>
      <c r="AK6" s="67"/>
    </row>
    <row r="7" spans="1:37" ht="15.75" hidden="1" customHeight="1" x14ac:dyDescent="0.25">
      <c r="B7" s="136" t="s">
        <v>11</v>
      </c>
      <c r="C7" s="137"/>
      <c r="D7" s="10"/>
      <c r="E7" s="10"/>
      <c r="F7" s="10"/>
      <c r="G7" s="10"/>
      <c r="H7" s="10" t="s">
        <v>12</v>
      </c>
      <c r="I7" s="10"/>
      <c r="J7" s="10"/>
      <c r="K7" s="135" t="s">
        <v>1</v>
      </c>
      <c r="L7" s="134"/>
      <c r="M7" s="134"/>
      <c r="N7" s="134"/>
      <c r="O7" s="134"/>
      <c r="P7" s="134"/>
      <c r="Q7" s="130"/>
      <c r="R7" s="133" t="s">
        <v>2</v>
      </c>
      <c r="S7" s="134"/>
      <c r="T7" s="134"/>
      <c r="U7" s="134"/>
      <c r="V7" s="134"/>
      <c r="W7" s="134"/>
      <c r="X7" s="130"/>
      <c r="Y7" s="135" t="s">
        <v>13</v>
      </c>
      <c r="Z7" s="134"/>
      <c r="AA7" s="134"/>
      <c r="AB7" s="134"/>
      <c r="AC7" s="134"/>
      <c r="AD7" s="134"/>
      <c r="AE7" s="130"/>
      <c r="AF7" s="67"/>
      <c r="AG7" s="67"/>
      <c r="AH7" s="67"/>
      <c r="AI7" s="67"/>
      <c r="AJ7" s="1"/>
      <c r="AK7" s="1"/>
    </row>
    <row r="8" spans="1:37" ht="15.75" hidden="1" customHeight="1" x14ac:dyDescent="0.25">
      <c r="B8" s="138"/>
      <c r="C8" s="139"/>
      <c r="D8" s="11" t="s">
        <v>14</v>
      </c>
      <c r="E8" s="11" t="s">
        <v>15</v>
      </c>
      <c r="F8" s="11" t="s">
        <v>16</v>
      </c>
      <c r="G8" s="11" t="s">
        <v>17</v>
      </c>
      <c r="H8" s="12" t="s">
        <v>18</v>
      </c>
      <c r="I8" s="12" t="s">
        <v>19</v>
      </c>
      <c r="J8" s="13" t="s">
        <v>20</v>
      </c>
      <c r="K8" s="14" t="s">
        <v>14</v>
      </c>
      <c r="L8" s="14" t="s">
        <v>15</v>
      </c>
      <c r="M8" s="14" t="s">
        <v>16</v>
      </c>
      <c r="N8" s="14" t="s">
        <v>17</v>
      </c>
      <c r="O8" s="15" t="s">
        <v>18</v>
      </c>
      <c r="P8" s="15" t="s">
        <v>19</v>
      </c>
      <c r="Q8" s="16" t="s">
        <v>20</v>
      </c>
      <c r="R8" s="11" t="s">
        <v>14</v>
      </c>
      <c r="S8" s="11" t="s">
        <v>15</v>
      </c>
      <c r="T8" s="11" t="s">
        <v>16</v>
      </c>
      <c r="U8" s="11" t="s">
        <v>17</v>
      </c>
      <c r="V8" s="12" t="s">
        <v>18</v>
      </c>
      <c r="W8" s="12" t="s">
        <v>19</v>
      </c>
      <c r="X8" s="17" t="s">
        <v>20</v>
      </c>
      <c r="Y8" s="14" t="s">
        <v>14</v>
      </c>
      <c r="Z8" s="14" t="s">
        <v>15</v>
      </c>
      <c r="AA8" s="14" t="s">
        <v>16</v>
      </c>
      <c r="AB8" s="14" t="s">
        <v>17</v>
      </c>
      <c r="AC8" s="15" t="s">
        <v>18</v>
      </c>
      <c r="AD8" s="15" t="s">
        <v>19</v>
      </c>
      <c r="AE8" s="16" t="s">
        <v>20</v>
      </c>
      <c r="AF8" s="67"/>
      <c r="AG8" s="67"/>
      <c r="AH8" s="67"/>
      <c r="AI8" s="67"/>
      <c r="AJ8" s="1"/>
      <c r="AK8" s="1"/>
    </row>
    <row r="9" spans="1:37" ht="15.75" hidden="1" customHeight="1" x14ac:dyDescent="0.25">
      <c r="A9" t="s">
        <v>36</v>
      </c>
      <c r="B9" s="140" t="s">
        <v>3</v>
      </c>
      <c r="C9" s="141"/>
      <c r="D9" s="51">
        <v>135</v>
      </c>
      <c r="E9" s="51">
        <v>152</v>
      </c>
      <c r="F9" s="51">
        <v>622</v>
      </c>
      <c r="G9" s="51">
        <v>522</v>
      </c>
      <c r="H9" s="52">
        <f>SUM(D9:G9)</f>
        <v>1431</v>
      </c>
      <c r="I9" s="53">
        <v>15945</v>
      </c>
      <c r="J9" s="54">
        <f>SUM(H9:I9)</f>
        <v>17376</v>
      </c>
      <c r="K9" s="55">
        <v>58</v>
      </c>
      <c r="L9" s="55">
        <v>56</v>
      </c>
      <c r="M9" s="55">
        <v>446</v>
      </c>
      <c r="N9" s="55">
        <v>408</v>
      </c>
      <c r="O9" s="52">
        <f>SUM(K9:N9)</f>
        <v>968</v>
      </c>
      <c r="P9" s="53">
        <v>8043</v>
      </c>
      <c r="Q9" s="54">
        <f>SUM(O9:P9)</f>
        <v>9011</v>
      </c>
      <c r="R9" s="51">
        <v>62</v>
      </c>
      <c r="S9" s="51">
        <v>48</v>
      </c>
      <c r="T9" s="51">
        <v>791</v>
      </c>
      <c r="U9" s="51">
        <v>668</v>
      </c>
      <c r="V9" s="52">
        <f>SUM(R9:U9)</f>
        <v>1569</v>
      </c>
      <c r="W9" s="53">
        <v>10017</v>
      </c>
      <c r="X9" s="54">
        <f>SUM(V9:W9)</f>
        <v>11586</v>
      </c>
      <c r="Y9" s="51">
        <v>82</v>
      </c>
      <c r="Z9" s="51">
        <v>86</v>
      </c>
      <c r="AA9" s="51">
        <v>669</v>
      </c>
      <c r="AB9" s="51">
        <v>670</v>
      </c>
      <c r="AC9" s="52">
        <f>SUM(Y9:AB9)</f>
        <v>1507</v>
      </c>
      <c r="AD9" s="53">
        <v>6940</v>
      </c>
      <c r="AE9" s="54">
        <f>SUM(AC9:AD9)</f>
        <v>8447</v>
      </c>
      <c r="AF9" s="67"/>
      <c r="AG9" s="67"/>
      <c r="AH9" s="67"/>
      <c r="AI9" s="67"/>
      <c r="AJ9" s="1"/>
      <c r="AK9" s="1"/>
    </row>
    <row r="10" spans="1:37" ht="15.75" hidden="1" customHeight="1" x14ac:dyDescent="0.25">
      <c r="A10" t="s">
        <v>37</v>
      </c>
      <c r="B10" s="140" t="s">
        <v>4</v>
      </c>
      <c r="C10" s="141"/>
      <c r="D10" s="55">
        <v>8</v>
      </c>
      <c r="E10" s="55">
        <v>15</v>
      </c>
      <c r="F10" s="55">
        <v>95</v>
      </c>
      <c r="G10" s="55">
        <v>117</v>
      </c>
      <c r="H10" s="52">
        <f>SUM(D10:G10)</f>
        <v>235</v>
      </c>
      <c r="I10" s="53">
        <v>15945</v>
      </c>
      <c r="J10" s="54">
        <f>SUM(H10:I10)</f>
        <v>16180</v>
      </c>
      <c r="K10" s="55">
        <v>17</v>
      </c>
      <c r="L10" s="55">
        <v>26</v>
      </c>
      <c r="M10" s="55">
        <v>163</v>
      </c>
      <c r="N10" s="55">
        <v>110</v>
      </c>
      <c r="O10" s="52">
        <f>SUM(K10:N10)</f>
        <v>316</v>
      </c>
      <c r="P10" s="53">
        <v>8043</v>
      </c>
      <c r="Q10" s="54">
        <f>SUM(O10:P10)</f>
        <v>8359</v>
      </c>
      <c r="R10" s="51">
        <v>55</v>
      </c>
      <c r="S10" s="51">
        <v>27</v>
      </c>
      <c r="T10" s="51">
        <v>337</v>
      </c>
      <c r="U10" s="51">
        <v>300</v>
      </c>
      <c r="V10" s="52">
        <f>SUM(R10:U10)</f>
        <v>719</v>
      </c>
      <c r="W10" s="53">
        <v>12399</v>
      </c>
      <c r="X10" s="54">
        <f>SUM(V10:W10)</f>
        <v>13118</v>
      </c>
      <c r="Y10" s="51">
        <v>21</v>
      </c>
      <c r="Z10" s="51">
        <v>26</v>
      </c>
      <c r="AA10" s="51">
        <v>205</v>
      </c>
      <c r="AB10" s="51">
        <v>148</v>
      </c>
      <c r="AC10" s="52">
        <f>SUM(Y10:AB10)</f>
        <v>400</v>
      </c>
      <c r="AD10" s="53">
        <v>6940</v>
      </c>
      <c r="AE10" s="54">
        <f>SUM(AC10:AD10)</f>
        <v>7340</v>
      </c>
      <c r="AF10" s="67"/>
      <c r="AG10" s="67"/>
      <c r="AH10" s="67"/>
      <c r="AI10" s="67"/>
    </row>
    <row r="11" spans="1:37" ht="14.25" hidden="1" customHeight="1" x14ac:dyDescent="0.25">
      <c r="A11" t="s">
        <v>38</v>
      </c>
      <c r="B11" s="140" t="s">
        <v>6</v>
      </c>
      <c r="C11" s="141"/>
      <c r="D11" s="56">
        <v>64</v>
      </c>
      <c r="E11" s="56">
        <v>50</v>
      </c>
      <c r="F11" s="55">
        <v>390</v>
      </c>
      <c r="G11" s="55">
        <v>295</v>
      </c>
      <c r="H11" s="52">
        <f>SUM(D11:G11)</f>
        <v>799</v>
      </c>
      <c r="I11" s="53">
        <v>15945</v>
      </c>
      <c r="J11" s="54">
        <f>SUM(H11:I11)</f>
        <v>16744</v>
      </c>
      <c r="K11" s="55">
        <v>77</v>
      </c>
      <c r="L11" s="55">
        <v>51</v>
      </c>
      <c r="M11" s="55">
        <v>320</v>
      </c>
      <c r="N11" s="55">
        <v>245</v>
      </c>
      <c r="O11" s="52">
        <f>SUM(K11:N11)</f>
        <v>693</v>
      </c>
      <c r="P11" s="53">
        <v>8043</v>
      </c>
      <c r="Q11" s="54">
        <f>SUM(O11:P11)</f>
        <v>8736</v>
      </c>
      <c r="R11" s="51">
        <v>62</v>
      </c>
      <c r="S11" s="51">
        <v>30</v>
      </c>
      <c r="T11" s="51">
        <v>457</v>
      </c>
      <c r="U11" s="51">
        <v>342</v>
      </c>
      <c r="V11" s="52">
        <f>SUM(R11:U11)</f>
        <v>891</v>
      </c>
      <c r="W11" s="53">
        <v>11458</v>
      </c>
      <c r="X11" s="54">
        <f>SUM(V11:W11)</f>
        <v>12349</v>
      </c>
      <c r="Y11" s="51">
        <v>30</v>
      </c>
      <c r="Z11" s="51">
        <v>28</v>
      </c>
      <c r="AA11" s="51">
        <v>295</v>
      </c>
      <c r="AB11" s="51">
        <v>274</v>
      </c>
      <c r="AC11" s="52">
        <f>SUM(Y11:AB11)</f>
        <v>627</v>
      </c>
      <c r="AD11" s="53">
        <v>9690</v>
      </c>
      <c r="AE11" s="54">
        <f>SUM(AC11:AD11)</f>
        <v>10317</v>
      </c>
      <c r="AF11" s="67"/>
      <c r="AG11" s="67"/>
      <c r="AH11" s="67"/>
      <c r="AI11" s="67"/>
    </row>
    <row r="12" spans="1:37" ht="15.75" hidden="1" customHeight="1" x14ac:dyDescent="0.25">
      <c r="A12" t="s">
        <v>39</v>
      </c>
      <c r="B12" s="140" t="s">
        <v>7</v>
      </c>
      <c r="C12" s="141"/>
      <c r="D12" s="55">
        <v>63</v>
      </c>
      <c r="E12" s="55">
        <v>64</v>
      </c>
      <c r="F12" s="55">
        <v>384</v>
      </c>
      <c r="G12" s="55">
        <v>416</v>
      </c>
      <c r="H12" s="52">
        <f>SUM(D12:G12)</f>
        <v>927</v>
      </c>
      <c r="I12" s="53">
        <v>15945</v>
      </c>
      <c r="J12" s="54">
        <f>SUM(H12:I12)</f>
        <v>16872</v>
      </c>
      <c r="K12" s="55">
        <v>67</v>
      </c>
      <c r="L12" s="55">
        <v>82</v>
      </c>
      <c r="M12" s="55">
        <v>310</v>
      </c>
      <c r="N12" s="55">
        <v>266</v>
      </c>
      <c r="O12" s="52">
        <f>SUM(K12:N12)</f>
        <v>725</v>
      </c>
      <c r="P12" s="53">
        <v>8043</v>
      </c>
      <c r="Q12" s="54">
        <f>SUM(O12:P12)</f>
        <v>8768</v>
      </c>
      <c r="R12" s="51">
        <v>43</v>
      </c>
      <c r="S12" s="51">
        <v>60</v>
      </c>
      <c r="T12" s="51">
        <v>484</v>
      </c>
      <c r="U12" s="51">
        <v>324</v>
      </c>
      <c r="V12" s="52">
        <f>SUM(R12:U12)</f>
        <v>911</v>
      </c>
      <c r="W12" s="53">
        <v>11388</v>
      </c>
      <c r="X12" s="54">
        <f>SUM(V12:W12)</f>
        <v>12299</v>
      </c>
      <c r="Y12" s="51">
        <v>36</v>
      </c>
      <c r="Z12" s="51">
        <v>55</v>
      </c>
      <c r="AA12" s="51">
        <v>355</v>
      </c>
      <c r="AB12" s="51">
        <v>294</v>
      </c>
      <c r="AC12" s="52">
        <f>SUM(Y12:AB12)</f>
        <v>740</v>
      </c>
      <c r="AD12" s="53">
        <v>6940</v>
      </c>
      <c r="AE12" s="54">
        <f>SUM(AC12:AD12)</f>
        <v>7680</v>
      </c>
      <c r="AF12" s="67"/>
      <c r="AG12" s="67"/>
      <c r="AH12" s="67"/>
      <c r="AI12" s="67"/>
    </row>
    <row r="13" spans="1:37" ht="15.75" hidden="1" customHeight="1" x14ac:dyDescent="0.25">
      <c r="A13" t="s">
        <v>40</v>
      </c>
      <c r="B13" s="140" t="s">
        <v>8</v>
      </c>
      <c r="C13" s="141"/>
      <c r="D13" s="55">
        <v>12</v>
      </c>
      <c r="E13" s="55">
        <v>22</v>
      </c>
      <c r="F13" s="55">
        <v>77</v>
      </c>
      <c r="G13" s="55">
        <v>68</v>
      </c>
      <c r="H13" s="52">
        <f>SUM(D13:G13)</f>
        <v>179</v>
      </c>
      <c r="I13" s="53">
        <v>15945</v>
      </c>
      <c r="J13" s="54">
        <f>SUM(H13:I13)</f>
        <v>16124</v>
      </c>
      <c r="K13" s="55">
        <v>24</v>
      </c>
      <c r="L13" s="55">
        <v>21</v>
      </c>
      <c r="M13" s="55">
        <v>183</v>
      </c>
      <c r="N13" s="55">
        <v>126</v>
      </c>
      <c r="O13" s="52">
        <f>SUM(K13:N13)</f>
        <v>354</v>
      </c>
      <c r="P13" s="53">
        <v>8043</v>
      </c>
      <c r="Q13" s="54">
        <f>SUM(O13:P13)</f>
        <v>8397</v>
      </c>
      <c r="R13" s="51">
        <v>14</v>
      </c>
      <c r="S13" s="51">
        <v>18</v>
      </c>
      <c r="T13" s="51">
        <v>322</v>
      </c>
      <c r="U13" s="51">
        <v>217</v>
      </c>
      <c r="V13" s="52">
        <f>SUM(R13:U13)</f>
        <v>571</v>
      </c>
      <c r="W13" s="53">
        <v>12335</v>
      </c>
      <c r="X13" s="54">
        <f>SUM(V13:W13)</f>
        <v>12906</v>
      </c>
      <c r="Y13" s="51">
        <v>22</v>
      </c>
      <c r="Z13" s="51">
        <v>15</v>
      </c>
      <c r="AA13" s="51">
        <v>89</v>
      </c>
      <c r="AB13" s="51">
        <v>57</v>
      </c>
      <c r="AC13" s="52">
        <f>SUM(Y13:AB13)</f>
        <v>183</v>
      </c>
      <c r="AD13" s="53">
        <v>1000</v>
      </c>
      <c r="AE13" s="54">
        <f>SUM(AC13:AD13)</f>
        <v>1183</v>
      </c>
      <c r="AF13" s="67"/>
      <c r="AG13" s="67"/>
      <c r="AH13" s="67"/>
      <c r="AI13" s="67"/>
    </row>
    <row r="14" spans="1:37" ht="15.75" hidden="1" customHeight="1" x14ac:dyDescent="0.25">
      <c r="B14" s="53"/>
      <c r="C14" s="57"/>
      <c r="D14" s="51"/>
      <c r="E14" s="51"/>
      <c r="F14" s="51"/>
      <c r="G14" s="51"/>
      <c r="H14" s="58"/>
      <c r="I14" s="53"/>
      <c r="J14" s="54"/>
      <c r="K14" s="101">
        <f>K9+M9</f>
        <v>504</v>
      </c>
      <c r="L14" s="51"/>
      <c r="M14" s="100">
        <f>L9+N9</f>
        <v>464</v>
      </c>
      <c r="N14" s="51"/>
      <c r="O14" s="58"/>
      <c r="P14" s="53"/>
      <c r="Q14" s="54"/>
      <c r="R14" s="51"/>
      <c r="S14" s="51"/>
      <c r="T14" s="51"/>
      <c r="U14" s="51"/>
      <c r="V14" s="58"/>
      <c r="W14" s="53"/>
      <c r="X14" s="54"/>
      <c r="Y14" s="51"/>
      <c r="Z14" s="51"/>
      <c r="AA14" s="51"/>
      <c r="AB14" s="51"/>
      <c r="AC14" s="58"/>
      <c r="AD14" s="53"/>
      <c r="AE14" s="54"/>
      <c r="AF14" s="67"/>
      <c r="AG14" s="67"/>
      <c r="AH14" s="67"/>
      <c r="AI14" s="67"/>
    </row>
    <row r="15" spans="1:37" ht="15.75" hidden="1" customHeight="1" x14ac:dyDescent="0.25">
      <c r="B15" s="59"/>
      <c r="C15" s="60"/>
      <c r="D15" s="61">
        <f>SUM(D9:D14)</f>
        <v>282</v>
      </c>
      <c r="E15" s="62">
        <f>SUM(E9:E14)</f>
        <v>303</v>
      </c>
      <c r="F15" s="61">
        <f>SUM(F9:F13)</f>
        <v>1568</v>
      </c>
      <c r="G15" s="62">
        <f>SUM(G9:G13)</f>
        <v>1418</v>
      </c>
      <c r="H15" s="59">
        <f t="shared" ref="H15:L15" si="0">SUM(H9:H14)</f>
        <v>3571</v>
      </c>
      <c r="I15" s="59">
        <f t="shared" si="0"/>
        <v>79725</v>
      </c>
      <c r="J15" s="63">
        <f t="shared" si="0"/>
        <v>83296</v>
      </c>
      <c r="K15" s="61">
        <f>SUM(K9:K13)</f>
        <v>243</v>
      </c>
      <c r="L15" s="62">
        <f t="shared" si="0"/>
        <v>236</v>
      </c>
      <c r="M15" s="61">
        <f>SUM(M9:M13)</f>
        <v>1422</v>
      </c>
      <c r="N15" s="62">
        <f>SUM(N9:N13)</f>
        <v>1155</v>
      </c>
      <c r="O15" s="59">
        <f t="shared" ref="O15:T15" si="1">SUM(O9:O14)</f>
        <v>3056</v>
      </c>
      <c r="P15" s="59">
        <f t="shared" si="1"/>
        <v>40215</v>
      </c>
      <c r="Q15" s="63">
        <f t="shared" si="1"/>
        <v>43271</v>
      </c>
      <c r="R15" s="61">
        <f t="shared" si="1"/>
        <v>236</v>
      </c>
      <c r="S15" s="62">
        <f t="shared" si="1"/>
        <v>183</v>
      </c>
      <c r="T15" s="61">
        <f t="shared" si="1"/>
        <v>2391</v>
      </c>
      <c r="U15" s="62">
        <f>SUM(U9:U13)</f>
        <v>1851</v>
      </c>
      <c r="V15" s="59">
        <f t="shared" ref="V15:AA15" si="2">SUM(V9:V14)</f>
        <v>4661</v>
      </c>
      <c r="W15" s="59">
        <f t="shared" si="2"/>
        <v>57597</v>
      </c>
      <c r="X15" s="63">
        <f t="shared" si="2"/>
        <v>62258</v>
      </c>
      <c r="Y15" s="61">
        <f t="shared" si="2"/>
        <v>191</v>
      </c>
      <c r="Z15" s="62">
        <f t="shared" si="2"/>
        <v>210</v>
      </c>
      <c r="AA15" s="61">
        <f t="shared" si="2"/>
        <v>1613</v>
      </c>
      <c r="AB15" s="62">
        <f>SUM(AB9:AB13)</f>
        <v>1443</v>
      </c>
      <c r="AC15" s="8">
        <f>SUM(AC9:AC14)</f>
        <v>3457</v>
      </c>
      <c r="AD15" s="8">
        <f>SUM(AD9:AD14)</f>
        <v>31510</v>
      </c>
      <c r="AE15" s="6">
        <f>SUM(AE9:AE14)</f>
        <v>34967</v>
      </c>
      <c r="AF15" s="67"/>
      <c r="AG15" s="67"/>
      <c r="AH15" s="67"/>
      <c r="AI15" s="67"/>
    </row>
    <row r="16" spans="1:37" ht="15.75" hidden="1" customHeight="1" x14ac:dyDescent="0.25">
      <c r="C16" s="1"/>
      <c r="D16" s="48">
        <f>D9+F9</f>
        <v>757</v>
      </c>
      <c r="E16" s="49">
        <f>E9+G9</f>
        <v>674</v>
      </c>
      <c r="F16" s="1"/>
      <c r="G16" s="1"/>
      <c r="H16" s="1">
        <f>D16+E16</f>
        <v>1431</v>
      </c>
      <c r="I16" s="1"/>
      <c r="J16" s="1"/>
      <c r="K16" s="48">
        <f>K15+M15</f>
        <v>1665</v>
      </c>
      <c r="L16" s="49">
        <f>L15+N15</f>
        <v>1391</v>
      </c>
      <c r="M16" s="20">
        <f>SUM(K16:L16)</f>
        <v>3056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f>D13+F13+K13+M13+R13+T13+Y9+AA9</f>
        <v>1383</v>
      </c>
      <c r="Z16" s="1">
        <f>E13+G13+L13+N13+S13+U13+Z13+AB13</f>
        <v>544</v>
      </c>
      <c r="AA16" s="1"/>
      <c r="AB16" s="1"/>
      <c r="AC16" s="1"/>
      <c r="AD16" s="1"/>
      <c r="AE16" s="1"/>
      <c r="AF16" s="67"/>
      <c r="AG16" s="67"/>
      <c r="AH16" s="67"/>
      <c r="AI16" s="67"/>
    </row>
    <row r="17" spans="1:35" ht="15.75" hidden="1" customHeight="1" x14ac:dyDescent="0.25">
      <c r="B17" s="136" t="s">
        <v>11</v>
      </c>
      <c r="C17" s="137"/>
      <c r="D17" s="133" t="s">
        <v>21</v>
      </c>
      <c r="E17" s="134"/>
      <c r="F17" s="134"/>
      <c r="G17" s="134"/>
      <c r="H17" s="134"/>
      <c r="I17" s="134"/>
      <c r="J17" s="130"/>
      <c r="K17" s="135" t="s">
        <v>22</v>
      </c>
      <c r="L17" s="134"/>
      <c r="M17" s="134"/>
      <c r="N17" s="134"/>
      <c r="O17" s="134"/>
      <c r="P17" s="134"/>
      <c r="Q17" s="130"/>
      <c r="R17" s="133" t="s">
        <v>23</v>
      </c>
      <c r="S17" s="134"/>
      <c r="T17" s="134"/>
      <c r="U17" s="134"/>
      <c r="V17" s="134"/>
      <c r="W17" s="134"/>
      <c r="X17" s="130"/>
      <c r="Y17" s="135" t="s">
        <v>9</v>
      </c>
      <c r="Z17" s="134"/>
      <c r="AA17" s="134"/>
      <c r="AB17" s="134"/>
      <c r="AC17" s="134"/>
      <c r="AD17" s="134"/>
      <c r="AE17" s="130"/>
      <c r="AF17" s="67"/>
      <c r="AG17" s="67"/>
      <c r="AH17" s="67"/>
      <c r="AI17" s="67"/>
    </row>
    <row r="18" spans="1:35" ht="15.75" hidden="1" customHeight="1" x14ac:dyDescent="0.25">
      <c r="B18" s="138"/>
      <c r="C18" s="139"/>
      <c r="D18" s="11" t="s">
        <v>14</v>
      </c>
      <c r="E18" s="11" t="s">
        <v>15</v>
      </c>
      <c r="F18" s="11" t="s">
        <v>16</v>
      </c>
      <c r="G18" s="11" t="s">
        <v>17</v>
      </c>
      <c r="H18" s="12" t="s">
        <v>18</v>
      </c>
      <c r="I18" s="12" t="s">
        <v>19</v>
      </c>
      <c r="J18" s="17" t="s">
        <v>20</v>
      </c>
      <c r="K18" s="14" t="s">
        <v>14</v>
      </c>
      <c r="L18" s="14" t="s">
        <v>15</v>
      </c>
      <c r="M18" s="14" t="s">
        <v>16</v>
      </c>
      <c r="N18" s="14" t="s">
        <v>17</v>
      </c>
      <c r="O18" s="15" t="s">
        <v>18</v>
      </c>
      <c r="P18" s="15" t="s">
        <v>19</v>
      </c>
      <c r="Q18" s="16" t="s">
        <v>20</v>
      </c>
      <c r="R18" s="11" t="s">
        <v>14</v>
      </c>
      <c r="S18" s="11" t="s">
        <v>15</v>
      </c>
      <c r="T18" s="11" t="s">
        <v>16</v>
      </c>
      <c r="U18" s="11" t="s">
        <v>17</v>
      </c>
      <c r="V18" s="12" t="s">
        <v>18</v>
      </c>
      <c r="W18" s="12" t="s">
        <v>19</v>
      </c>
      <c r="X18" s="17" t="s">
        <v>20</v>
      </c>
      <c r="Y18" s="14" t="s">
        <v>14</v>
      </c>
      <c r="Z18" s="14" t="s">
        <v>15</v>
      </c>
      <c r="AA18" s="14" t="s">
        <v>16</v>
      </c>
      <c r="AB18" s="14" t="s">
        <v>17</v>
      </c>
      <c r="AC18" s="15" t="s">
        <v>18</v>
      </c>
      <c r="AD18" s="15" t="s">
        <v>19</v>
      </c>
      <c r="AE18" s="16" t="s">
        <v>20</v>
      </c>
      <c r="AF18" s="67"/>
      <c r="AG18" s="67"/>
      <c r="AH18" s="67"/>
      <c r="AI18" s="67"/>
    </row>
    <row r="19" spans="1:35" ht="15.75" hidden="1" customHeight="1" x14ac:dyDescent="0.25">
      <c r="B19" s="129" t="s">
        <v>3</v>
      </c>
      <c r="C19" s="130"/>
      <c r="D19" s="18">
        <v>44</v>
      </c>
      <c r="E19" s="18">
        <v>41</v>
      </c>
      <c r="F19" s="18">
        <v>304</v>
      </c>
      <c r="G19" s="18">
        <v>308</v>
      </c>
      <c r="H19" s="19">
        <f>SUM(D19:G19)</f>
        <v>697</v>
      </c>
      <c r="I19" s="1">
        <v>4490</v>
      </c>
      <c r="J19" s="5">
        <f>H19+I19</f>
        <v>5187</v>
      </c>
      <c r="K19" s="18">
        <v>77</v>
      </c>
      <c r="L19" s="18">
        <v>56</v>
      </c>
      <c r="M19" s="18">
        <v>511</v>
      </c>
      <c r="N19" s="18">
        <v>478</v>
      </c>
      <c r="O19" s="19">
        <f>SUM(K19:N19)</f>
        <v>1122</v>
      </c>
      <c r="P19" s="1">
        <v>13165</v>
      </c>
      <c r="Q19" s="5">
        <f>O19+P19</f>
        <v>14287</v>
      </c>
      <c r="R19" s="18"/>
      <c r="S19" s="18"/>
      <c r="T19" s="18"/>
      <c r="U19" s="18"/>
      <c r="V19" s="19">
        <f>SUM(R19:U19)</f>
        <v>0</v>
      </c>
      <c r="W19" s="1"/>
      <c r="X19" s="5">
        <f>SUM(V19:W19)</f>
        <v>0</v>
      </c>
      <c r="Y19" s="24"/>
      <c r="Z19" s="24"/>
      <c r="AA19" s="24"/>
      <c r="AB19" s="24"/>
      <c r="AC19" s="19">
        <f>SUM(Y19:AB19)</f>
        <v>0</v>
      </c>
      <c r="AD19" s="33"/>
      <c r="AE19" s="5">
        <f>SUM(AC19:AD19)</f>
        <v>0</v>
      </c>
      <c r="AF19" s="67"/>
      <c r="AG19" s="67"/>
      <c r="AH19" s="67"/>
      <c r="AI19" s="67"/>
    </row>
    <row r="20" spans="1:35" ht="15.75" hidden="1" customHeight="1" x14ac:dyDescent="0.25">
      <c r="B20" s="129" t="s">
        <v>4</v>
      </c>
      <c r="C20" s="130"/>
      <c r="D20" s="18">
        <v>6</v>
      </c>
      <c r="E20" s="18">
        <v>6</v>
      </c>
      <c r="F20" s="18">
        <v>91</v>
      </c>
      <c r="G20" s="18">
        <v>95</v>
      </c>
      <c r="H20" s="19">
        <f>SUM(D20:G20)</f>
        <v>198</v>
      </c>
      <c r="I20" s="1">
        <v>4490</v>
      </c>
      <c r="J20" s="5">
        <f>H20+I20</f>
        <v>4688</v>
      </c>
      <c r="K20" s="18">
        <v>13</v>
      </c>
      <c r="L20" s="18">
        <v>14</v>
      </c>
      <c r="M20" s="18">
        <v>110</v>
      </c>
      <c r="N20" s="18">
        <v>120</v>
      </c>
      <c r="O20" s="19">
        <f>SUM(K20:N20)</f>
        <v>257</v>
      </c>
      <c r="P20" s="1">
        <v>6677</v>
      </c>
      <c r="Q20" s="5">
        <f>SUM(O20:P20)</f>
        <v>6934</v>
      </c>
      <c r="R20" s="18"/>
      <c r="S20" s="18"/>
      <c r="T20" s="18"/>
      <c r="U20" s="18"/>
      <c r="V20" s="19">
        <f>SUM(R20:U20)</f>
        <v>0</v>
      </c>
      <c r="W20" s="1"/>
      <c r="X20" s="5">
        <f>SUM(V20:W20)</f>
        <v>0</v>
      </c>
      <c r="Y20" s="18"/>
      <c r="Z20" s="18"/>
      <c r="AA20" s="18"/>
      <c r="AB20" s="18"/>
      <c r="AC20" s="19">
        <f>SUM(Y20:AB20)</f>
        <v>0</v>
      </c>
      <c r="AD20" s="33"/>
      <c r="AE20" s="5">
        <f>SUM(AC20:AD20)</f>
        <v>0</v>
      </c>
      <c r="AF20" s="67"/>
      <c r="AG20" s="67"/>
      <c r="AH20" s="67"/>
      <c r="AI20" s="67"/>
    </row>
    <row r="21" spans="1:35" ht="15.75" hidden="1" customHeight="1" x14ac:dyDescent="0.25">
      <c r="A21" s="4" t="s">
        <v>5</v>
      </c>
      <c r="B21" s="129" t="s">
        <v>6</v>
      </c>
      <c r="C21" s="130"/>
      <c r="D21" s="18">
        <v>14</v>
      </c>
      <c r="E21" s="18">
        <v>10</v>
      </c>
      <c r="F21" s="18">
        <v>126</v>
      </c>
      <c r="G21" s="18">
        <v>122</v>
      </c>
      <c r="H21" s="19">
        <f>SUM(D21:G21)</f>
        <v>272</v>
      </c>
      <c r="I21" s="1">
        <v>4490</v>
      </c>
      <c r="J21" s="5">
        <f>H21+I21</f>
        <v>4762</v>
      </c>
      <c r="K21" s="18">
        <v>65</v>
      </c>
      <c r="L21" s="18">
        <v>52</v>
      </c>
      <c r="M21" s="18">
        <v>197</v>
      </c>
      <c r="N21" s="18">
        <v>140</v>
      </c>
      <c r="O21" s="19">
        <f>SUM(K21:N21)</f>
        <v>454</v>
      </c>
      <c r="P21" s="1">
        <v>7560</v>
      </c>
      <c r="Q21" s="5">
        <f>SUM(O21:P21)</f>
        <v>8014</v>
      </c>
      <c r="R21" s="18"/>
      <c r="S21" s="18"/>
      <c r="T21" s="18"/>
      <c r="U21" s="18"/>
      <c r="V21" s="19">
        <f>SUM(R21:U21)</f>
        <v>0</v>
      </c>
      <c r="W21" s="1"/>
      <c r="X21" s="5">
        <f>SUM(V21:W21)</f>
        <v>0</v>
      </c>
      <c r="Y21" s="18"/>
      <c r="Z21" s="18"/>
      <c r="AA21" s="18"/>
      <c r="AB21" s="18"/>
      <c r="AC21" s="19">
        <f>SUM(Y21:AB21)</f>
        <v>0</v>
      </c>
      <c r="AD21" s="33"/>
      <c r="AE21" s="5">
        <f>SUM(AC21:AD21)</f>
        <v>0</v>
      </c>
      <c r="AF21" s="67"/>
      <c r="AG21" s="67"/>
      <c r="AH21" s="67"/>
      <c r="AI21" s="67"/>
    </row>
    <row r="22" spans="1:35" ht="15.75" hidden="1" customHeight="1" x14ac:dyDescent="0.25">
      <c r="B22" s="129" t="s">
        <v>7</v>
      </c>
      <c r="C22" s="130"/>
      <c r="D22" s="18">
        <v>24</v>
      </c>
      <c r="E22" s="18">
        <v>21</v>
      </c>
      <c r="F22" s="18">
        <v>257</v>
      </c>
      <c r="G22" s="18">
        <v>192</v>
      </c>
      <c r="H22" s="19">
        <f>SUM(D22:G22)</f>
        <v>494</v>
      </c>
      <c r="I22" s="1">
        <v>4490</v>
      </c>
      <c r="J22" s="5">
        <f>H22+I22</f>
        <v>4984</v>
      </c>
      <c r="K22" s="18">
        <v>74</v>
      </c>
      <c r="L22" s="18">
        <v>84</v>
      </c>
      <c r="M22" s="18">
        <v>370</v>
      </c>
      <c r="N22" s="18">
        <v>311</v>
      </c>
      <c r="O22" s="19">
        <f>SUM(K22:N22)</f>
        <v>839</v>
      </c>
      <c r="P22" s="1">
        <v>6677</v>
      </c>
      <c r="Q22" s="5">
        <f>SUM(O22:P22)</f>
        <v>7516</v>
      </c>
      <c r="R22" s="18"/>
      <c r="S22" s="18"/>
      <c r="T22" s="18"/>
      <c r="U22" s="18"/>
      <c r="V22" s="19">
        <f>SUM(R22:U22)</f>
        <v>0</v>
      </c>
      <c r="W22" s="1"/>
      <c r="X22" s="5">
        <f>SUM(V22:W22)</f>
        <v>0</v>
      </c>
      <c r="Y22" s="18"/>
      <c r="Z22" s="18"/>
      <c r="AA22" s="18"/>
      <c r="AB22" s="18"/>
      <c r="AC22" s="19">
        <f>SUM(Y22:AB22)</f>
        <v>0</v>
      </c>
      <c r="AD22" s="33"/>
      <c r="AE22" s="5">
        <f>SUM(AC22:AD22)</f>
        <v>0</v>
      </c>
      <c r="AF22" s="67"/>
      <c r="AG22" s="67"/>
      <c r="AH22" s="67"/>
      <c r="AI22" s="67"/>
    </row>
    <row r="23" spans="1:35" ht="15.75" hidden="1" customHeight="1" x14ac:dyDescent="0.25">
      <c r="B23" s="129" t="s">
        <v>8</v>
      </c>
      <c r="C23" s="130"/>
      <c r="D23" s="18">
        <v>14</v>
      </c>
      <c r="E23" s="18">
        <v>9</v>
      </c>
      <c r="F23" s="18">
        <v>69</v>
      </c>
      <c r="G23" s="18">
        <v>43</v>
      </c>
      <c r="H23" s="19">
        <f>SUM(D23:G23)</f>
        <v>135</v>
      </c>
      <c r="I23" s="1">
        <v>500</v>
      </c>
      <c r="J23" s="5">
        <f>H23+I23</f>
        <v>635</v>
      </c>
      <c r="K23" s="18">
        <v>41</v>
      </c>
      <c r="L23" s="18">
        <v>39</v>
      </c>
      <c r="M23" s="18">
        <v>89</v>
      </c>
      <c r="N23" s="18">
        <v>43</v>
      </c>
      <c r="O23" s="19">
        <f>SUM(K23:N23)</f>
        <v>212</v>
      </c>
      <c r="P23" s="1">
        <v>558</v>
      </c>
      <c r="Q23" s="5">
        <f>SUM(O23:P23)</f>
        <v>770</v>
      </c>
      <c r="R23" s="18"/>
      <c r="S23" s="18"/>
      <c r="T23" s="18"/>
      <c r="U23" s="18"/>
      <c r="V23" s="19">
        <f>SUM(R23:U23)</f>
        <v>0</v>
      </c>
      <c r="W23" s="1"/>
      <c r="X23" s="5">
        <f>SUM(V23:W23)</f>
        <v>0</v>
      </c>
      <c r="Y23" s="18"/>
      <c r="Z23" s="18"/>
      <c r="AA23" s="18"/>
      <c r="AB23" s="18"/>
      <c r="AC23" s="19">
        <f>SUM(Y23:AB23)</f>
        <v>0</v>
      </c>
      <c r="AD23" s="33"/>
      <c r="AE23" s="5">
        <f>SUM(AC23:AD23)</f>
        <v>0</v>
      </c>
      <c r="AF23" s="67"/>
      <c r="AG23" s="67"/>
      <c r="AH23" s="67"/>
      <c r="AI23" s="67"/>
    </row>
    <row r="24" spans="1:35" ht="15.75" hidden="1" customHeight="1" x14ac:dyDescent="0.25">
      <c r="B24" s="1"/>
      <c r="C24" s="1"/>
      <c r="D24" s="87">
        <f>D23+F23</f>
        <v>83</v>
      </c>
      <c r="E24" s="87">
        <f>E23+G23</f>
        <v>52</v>
      </c>
      <c r="F24" s="1"/>
      <c r="G24" s="1"/>
      <c r="H24" s="1"/>
      <c r="I24" s="1"/>
      <c r="J24" s="1"/>
      <c r="K24" s="108">
        <f>K23+M23</f>
        <v>130</v>
      </c>
      <c r="L24" s="109">
        <f>L23+N23</f>
        <v>82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64">
        <f>Y23+AA23</f>
        <v>0</v>
      </c>
      <c r="Z24" s="65">
        <f>Z23+AB23</f>
        <v>0</v>
      </c>
      <c r="AA24" s="1">
        <f>SUM(Y24:Z24)</f>
        <v>0</v>
      </c>
      <c r="AB24" s="1"/>
      <c r="AC24" s="1"/>
      <c r="AD24" s="1"/>
      <c r="AE24" s="1"/>
      <c r="AF24" s="67"/>
      <c r="AG24" s="67"/>
      <c r="AH24" s="67"/>
      <c r="AI24" s="67"/>
    </row>
    <row r="25" spans="1:35" ht="15.75" hidden="1" customHeight="1" x14ac:dyDescent="0.25">
      <c r="B25" s="8"/>
      <c r="C25" s="22"/>
      <c r="D25" s="61">
        <f>SUM(D19:D23)</f>
        <v>102</v>
      </c>
      <c r="E25" s="62">
        <f>SUM(E19:E23)</f>
        <v>87</v>
      </c>
      <c r="F25" s="61">
        <f>SUM(F19:F23)</f>
        <v>847</v>
      </c>
      <c r="G25" s="62">
        <f>SUM(G19:G23)</f>
        <v>760</v>
      </c>
      <c r="H25" s="8">
        <f>SUM(H19:H24)</f>
        <v>1796</v>
      </c>
      <c r="I25" s="8">
        <f>SUM(I19:I24)</f>
        <v>18460</v>
      </c>
      <c r="J25" s="6">
        <f>SUM(J19:J24)</f>
        <v>20256</v>
      </c>
      <c r="K25" s="61">
        <f>SUM(K19:K23)</f>
        <v>270</v>
      </c>
      <c r="L25" s="62">
        <f>SUM(L19:L23)</f>
        <v>245</v>
      </c>
      <c r="M25" s="61">
        <f>SUM(M19:M23)</f>
        <v>1277</v>
      </c>
      <c r="N25" s="62">
        <f>SUM(N19:N23)</f>
        <v>1092</v>
      </c>
      <c r="O25" s="8">
        <f>SUM(O19:O23)</f>
        <v>2884</v>
      </c>
      <c r="P25" s="8"/>
      <c r="Q25" s="6">
        <f>SUM(Q19:Q23)</f>
        <v>37521</v>
      </c>
      <c r="R25" s="40">
        <f>SUM(R19:R24)</f>
        <v>0</v>
      </c>
      <c r="S25" s="23">
        <f>SUM(S19:S23)</f>
        <v>0</v>
      </c>
      <c r="T25" s="40">
        <f>SUM(T19:T24)</f>
        <v>0</v>
      </c>
      <c r="U25" s="23">
        <f>SUM(U19:U23)</f>
        <v>0</v>
      </c>
      <c r="V25" s="8">
        <f>SUM(V19:V23)</f>
        <v>0</v>
      </c>
      <c r="W25" s="59">
        <f>SUM(W19:W24)</f>
        <v>0</v>
      </c>
      <c r="X25" s="6">
        <f>SUM(X19:X23)</f>
        <v>0</v>
      </c>
      <c r="Y25" s="61">
        <f>SUM(Y19:Y24)</f>
        <v>0</v>
      </c>
      <c r="Z25" s="62">
        <f>SUM(Z19:Z24)</f>
        <v>0</v>
      </c>
      <c r="AA25" s="61">
        <f>SUM(AA19:AA23)</f>
        <v>0</v>
      </c>
      <c r="AB25" s="62">
        <f>SUM(AB19:AB23)</f>
        <v>0</v>
      </c>
      <c r="AC25" s="8">
        <f>SUM(AC19:AC23)</f>
        <v>0</v>
      </c>
      <c r="AD25" s="8"/>
      <c r="AE25" s="6">
        <f>SUM(AE19:AE23)</f>
        <v>0</v>
      </c>
      <c r="AF25" s="67"/>
      <c r="AG25" s="67"/>
      <c r="AH25" s="67"/>
      <c r="AI25" s="67"/>
    </row>
    <row r="26" spans="1:35" ht="15.75" hidden="1" customHeight="1" x14ac:dyDescent="0.25">
      <c r="B26" s="1"/>
      <c r="C26" s="7"/>
      <c r="D26" s="48">
        <f>D25+F25</f>
        <v>949</v>
      </c>
      <c r="E26" s="49">
        <f>E25+G25</f>
        <v>847</v>
      </c>
      <c r="F26" s="25"/>
      <c r="G26" s="25"/>
      <c r="H26" s="25"/>
      <c r="I26" s="1"/>
      <c r="J26" s="25"/>
      <c r="K26" s="48">
        <f>K25+M25</f>
        <v>1547</v>
      </c>
      <c r="L26" s="49">
        <f>L25+N25</f>
        <v>1337</v>
      </c>
      <c r="M26" s="25"/>
      <c r="N26" s="25"/>
      <c r="O26" s="1"/>
      <c r="P26" s="1"/>
      <c r="Q26" s="1"/>
      <c r="R26" s="27">
        <f>R25+T25</f>
        <v>0</v>
      </c>
      <c r="S26" s="27"/>
      <c r="T26" s="18">
        <f>S25+U25</f>
        <v>0</v>
      </c>
      <c r="U26" s="18"/>
      <c r="V26" s="1">
        <f>V25*0.3</f>
        <v>0</v>
      </c>
      <c r="W26" s="1"/>
      <c r="X26" s="1"/>
      <c r="Y26" s="18"/>
      <c r="Z26" s="18"/>
      <c r="AA26" s="27"/>
      <c r="AB26" s="27"/>
      <c r="AC26" s="1">
        <f>AC25*0.3</f>
        <v>0</v>
      </c>
      <c r="AD26" s="1"/>
      <c r="AE26" s="1"/>
      <c r="AF26" s="67"/>
      <c r="AG26" s="67"/>
      <c r="AH26" s="67"/>
      <c r="AI26" s="67"/>
    </row>
    <row r="27" spans="1:35" ht="15.75" hidden="1" customHeight="1" x14ac:dyDescent="0.25">
      <c r="B27" s="136" t="s">
        <v>11</v>
      </c>
      <c r="C27" s="137"/>
      <c r="D27" s="133" t="s">
        <v>24</v>
      </c>
      <c r="E27" s="134"/>
      <c r="F27" s="134"/>
      <c r="G27" s="134"/>
      <c r="H27" s="134"/>
      <c r="I27" s="134"/>
      <c r="J27" s="130"/>
      <c r="K27" s="135" t="s">
        <v>25</v>
      </c>
      <c r="L27" s="134"/>
      <c r="M27" s="134"/>
      <c r="N27" s="134"/>
      <c r="O27" s="134"/>
      <c r="P27" s="134"/>
      <c r="Q27" s="130"/>
      <c r="R27" s="133" t="s">
        <v>10</v>
      </c>
      <c r="S27" s="134"/>
      <c r="T27" s="134"/>
      <c r="U27" s="134"/>
      <c r="V27" s="134"/>
      <c r="W27" s="134"/>
      <c r="X27" s="130"/>
      <c r="Y27" s="135" t="s">
        <v>26</v>
      </c>
      <c r="Z27" s="134"/>
      <c r="AA27" s="134"/>
      <c r="AB27" s="134"/>
      <c r="AC27" s="134"/>
      <c r="AD27" s="134"/>
      <c r="AE27" s="130"/>
      <c r="AF27" s="67"/>
      <c r="AG27" s="67"/>
      <c r="AH27" s="67"/>
      <c r="AI27" s="67"/>
    </row>
    <row r="28" spans="1:35" ht="15.75" hidden="1" customHeight="1" x14ac:dyDescent="0.25">
      <c r="B28" s="138"/>
      <c r="C28" s="139"/>
      <c r="D28" s="11" t="s">
        <v>14</v>
      </c>
      <c r="E28" s="11" t="s">
        <v>15</v>
      </c>
      <c r="F28" s="11" t="s">
        <v>16</v>
      </c>
      <c r="G28" s="11" t="s">
        <v>17</v>
      </c>
      <c r="H28" s="12" t="s">
        <v>18</v>
      </c>
      <c r="I28" s="12" t="s">
        <v>19</v>
      </c>
      <c r="J28" s="17" t="s">
        <v>20</v>
      </c>
      <c r="K28" s="14" t="s">
        <v>14</v>
      </c>
      <c r="L28" s="14" t="s">
        <v>15</v>
      </c>
      <c r="M28" s="14" t="s">
        <v>16</v>
      </c>
      <c r="N28" s="14" t="s">
        <v>17</v>
      </c>
      <c r="O28" s="15" t="s">
        <v>18</v>
      </c>
      <c r="P28" s="15" t="s">
        <v>19</v>
      </c>
      <c r="Q28" s="16" t="s">
        <v>20</v>
      </c>
      <c r="R28" s="11" t="s">
        <v>14</v>
      </c>
      <c r="S28" s="11" t="s">
        <v>15</v>
      </c>
      <c r="T28" s="11" t="s">
        <v>16</v>
      </c>
      <c r="U28" s="11" t="s">
        <v>17</v>
      </c>
      <c r="V28" s="12" t="s">
        <v>18</v>
      </c>
      <c r="W28" s="12" t="s">
        <v>19</v>
      </c>
      <c r="X28" s="17" t="s">
        <v>20</v>
      </c>
      <c r="Y28" s="14" t="s">
        <v>14</v>
      </c>
      <c r="Z28" s="14" t="s">
        <v>15</v>
      </c>
      <c r="AA28" s="14" t="s">
        <v>16</v>
      </c>
      <c r="AB28" s="14" t="s">
        <v>17</v>
      </c>
      <c r="AC28" s="15" t="s">
        <v>18</v>
      </c>
      <c r="AD28" s="15" t="s">
        <v>19</v>
      </c>
      <c r="AE28" s="16" t="s">
        <v>20</v>
      </c>
      <c r="AF28" s="67"/>
      <c r="AG28" s="67"/>
      <c r="AH28" s="67"/>
      <c r="AI28" s="67"/>
    </row>
    <row r="29" spans="1:35" ht="15.75" hidden="1" customHeight="1" x14ac:dyDescent="0.25">
      <c r="B29" s="129" t="s">
        <v>3</v>
      </c>
      <c r="C29" s="130"/>
      <c r="D29" s="1"/>
      <c r="E29" s="1"/>
      <c r="F29" s="1"/>
      <c r="G29" s="1"/>
      <c r="H29" s="19">
        <f t="shared" ref="H29:H34" si="3">SUM(D29:G29)</f>
        <v>0</v>
      </c>
      <c r="I29" s="34"/>
      <c r="J29" s="5">
        <f>SUM(H29:I29)</f>
        <v>0</v>
      </c>
      <c r="K29" s="35"/>
      <c r="L29" s="35"/>
      <c r="M29" s="35"/>
      <c r="N29" s="35"/>
      <c r="O29" s="36">
        <f>SUM(K29:N29)</f>
        <v>0</v>
      </c>
      <c r="P29" s="37"/>
      <c r="Q29" s="5">
        <f>SUM(O29:P29)</f>
        <v>0</v>
      </c>
      <c r="R29" s="44"/>
      <c r="S29" s="44"/>
      <c r="T29" s="44"/>
      <c r="U29" s="44"/>
      <c r="V29" s="19">
        <f>SUM(R29:U29)</f>
        <v>0</v>
      </c>
      <c r="W29" s="1"/>
      <c r="X29" s="28">
        <f>SUM(V29:W29)</f>
        <v>0</v>
      </c>
      <c r="Y29" s="18"/>
      <c r="Z29" s="18"/>
      <c r="AA29" s="18"/>
      <c r="AB29" s="18"/>
      <c r="AC29" s="19">
        <f>SUM(Y29:AB29)</f>
        <v>0</v>
      </c>
      <c r="AD29" s="1"/>
      <c r="AE29" s="28">
        <f>SUM(AC29:AD29)</f>
        <v>0</v>
      </c>
      <c r="AF29" s="67"/>
      <c r="AG29" s="67"/>
      <c r="AH29" s="67"/>
      <c r="AI29" s="67"/>
    </row>
    <row r="30" spans="1:35" ht="15.75" hidden="1" customHeight="1" x14ac:dyDescent="0.25">
      <c r="B30" s="129" t="s">
        <v>4</v>
      </c>
      <c r="C30" s="130"/>
      <c r="D30" s="1"/>
      <c r="E30" s="1"/>
      <c r="F30" s="1"/>
      <c r="G30" s="1"/>
      <c r="H30" s="19">
        <f t="shared" si="3"/>
        <v>0</v>
      </c>
      <c r="I30" s="1"/>
      <c r="J30" s="5">
        <f>SUM(H30:I30)</f>
        <v>0</v>
      </c>
      <c r="K30" s="39"/>
      <c r="L30" s="39"/>
      <c r="M30" s="39"/>
      <c r="N30" s="39"/>
      <c r="O30" s="36">
        <f>SUM(K30:N30)</f>
        <v>0</v>
      </c>
      <c r="P30" s="37"/>
      <c r="Q30" s="5">
        <f>O30+P30</f>
        <v>0</v>
      </c>
      <c r="R30" s="44"/>
      <c r="S30" s="44"/>
      <c r="T30" s="44"/>
      <c r="U30" s="44"/>
      <c r="V30" s="19">
        <f>SUM(R30:U30)</f>
        <v>0</v>
      </c>
      <c r="W30" s="1"/>
      <c r="X30" s="28">
        <f>SUM(V30:W30)</f>
        <v>0</v>
      </c>
      <c r="Y30" s="18"/>
      <c r="Z30" s="18"/>
      <c r="AA30" s="18"/>
      <c r="AB30" s="18"/>
      <c r="AC30" s="19">
        <f>SUM(Y30:AB30)</f>
        <v>0</v>
      </c>
      <c r="AD30" s="1"/>
      <c r="AE30" s="28">
        <f>SUM(AC30:AD30)</f>
        <v>0</v>
      </c>
      <c r="AF30" s="67"/>
      <c r="AG30" s="67"/>
      <c r="AH30" s="67"/>
      <c r="AI30" s="67"/>
    </row>
    <row r="31" spans="1:35" ht="15.75" hidden="1" customHeight="1" x14ac:dyDescent="0.25">
      <c r="B31" s="129" t="s">
        <v>6</v>
      </c>
      <c r="C31" s="130"/>
      <c r="D31" s="1"/>
      <c r="E31" s="1"/>
      <c r="F31" s="1"/>
      <c r="G31" s="1"/>
      <c r="H31" s="19">
        <f t="shared" si="3"/>
        <v>0</v>
      </c>
      <c r="I31" s="1"/>
      <c r="J31" s="5">
        <f>SUM(H31:I31)</f>
        <v>0</v>
      </c>
      <c r="K31" s="39"/>
      <c r="L31" s="39"/>
      <c r="M31" s="39"/>
      <c r="N31" s="39"/>
      <c r="O31" s="36">
        <f>SUM(K31:N31)</f>
        <v>0</v>
      </c>
      <c r="P31" s="37"/>
      <c r="Q31" s="5">
        <f>O31+P31</f>
        <v>0</v>
      </c>
      <c r="V31" s="19">
        <f>SUM(R31:U31)</f>
        <v>0</v>
      </c>
      <c r="W31" s="1"/>
      <c r="X31" s="28">
        <f>SUM(V31:W31)</f>
        <v>0</v>
      </c>
      <c r="Y31" s="29"/>
      <c r="Z31" s="29"/>
      <c r="AA31" s="29"/>
      <c r="AB31" s="29"/>
      <c r="AC31" s="19">
        <f>SUM(Y31:AB31)</f>
        <v>0</v>
      </c>
      <c r="AD31" s="1"/>
      <c r="AE31" s="28">
        <f>SUM(AC31:AD31)</f>
        <v>0</v>
      </c>
      <c r="AF31" s="67"/>
      <c r="AG31" s="67"/>
      <c r="AH31" s="67"/>
      <c r="AI31" s="67"/>
    </row>
    <row r="32" spans="1:35" ht="15.75" hidden="1" customHeight="1" x14ac:dyDescent="0.25">
      <c r="B32" s="129" t="s">
        <v>7</v>
      </c>
      <c r="C32" s="130"/>
      <c r="D32" s="1"/>
      <c r="E32" s="1"/>
      <c r="F32" s="1"/>
      <c r="G32" s="1"/>
      <c r="H32" s="19">
        <f t="shared" si="3"/>
        <v>0</v>
      </c>
      <c r="I32" s="1"/>
      <c r="J32" s="5">
        <f>SUM(H32:I32)</f>
        <v>0</v>
      </c>
      <c r="K32" s="39"/>
      <c r="L32" s="39"/>
      <c r="M32" s="39"/>
      <c r="N32" s="39"/>
      <c r="O32" s="36">
        <f>SUM(K32:N32)</f>
        <v>0</v>
      </c>
      <c r="P32" s="37"/>
      <c r="Q32" s="5">
        <f>O32+P32</f>
        <v>0</v>
      </c>
      <c r="V32" s="19">
        <f>SUM(R32:U32)</f>
        <v>0</v>
      </c>
      <c r="W32" s="1"/>
      <c r="X32" s="28">
        <f>SUM(V32:W32)</f>
        <v>0</v>
      </c>
      <c r="Y32" s="29"/>
      <c r="Z32" s="29"/>
      <c r="AA32" s="29"/>
      <c r="AB32" s="29"/>
      <c r="AC32" s="19">
        <f>SUM(Y32:AB32)</f>
        <v>0</v>
      </c>
      <c r="AD32" s="1"/>
      <c r="AE32" s="28">
        <f>SUM(AC32:AD32)</f>
        <v>0</v>
      </c>
      <c r="AF32" s="67"/>
      <c r="AG32" s="67"/>
      <c r="AH32" s="67"/>
      <c r="AI32" s="67"/>
    </row>
    <row r="33" spans="2:35" ht="15.75" hidden="1" customHeight="1" x14ac:dyDescent="0.25">
      <c r="B33" s="129" t="s">
        <v>8</v>
      </c>
      <c r="C33" s="130"/>
      <c r="D33" s="1"/>
      <c r="E33" s="1"/>
      <c r="F33" s="1"/>
      <c r="G33" s="1"/>
      <c r="H33" s="19">
        <f t="shared" si="3"/>
        <v>0</v>
      </c>
      <c r="I33" s="1"/>
      <c r="J33" s="5">
        <f>SUM(H33:I33)</f>
        <v>0</v>
      </c>
      <c r="K33" s="39"/>
      <c r="L33" s="39"/>
      <c r="M33" s="39"/>
      <c r="N33" s="39"/>
      <c r="O33" s="36">
        <f>SUM(K33:N33)</f>
        <v>0</v>
      </c>
      <c r="P33" s="45"/>
      <c r="Q33" s="46">
        <f>O33+P33</f>
        <v>0</v>
      </c>
      <c r="V33" s="19">
        <f>SUM(R33:U33)</f>
        <v>0</v>
      </c>
      <c r="W33" s="1"/>
      <c r="X33" s="28">
        <f>SUM(V33:W33)</f>
        <v>0</v>
      </c>
      <c r="Y33" s="18"/>
      <c r="Z33" s="18"/>
      <c r="AA33" s="18"/>
      <c r="AB33" s="18"/>
      <c r="AC33" s="19">
        <f>SUM(Y33:AB33)</f>
        <v>0</v>
      </c>
      <c r="AD33" s="1"/>
      <c r="AE33" s="28">
        <f>SUM(AC33:AD33)</f>
        <v>0</v>
      </c>
      <c r="AF33" s="67"/>
      <c r="AG33" s="67"/>
      <c r="AH33" s="67"/>
      <c r="AI33" s="67"/>
    </row>
    <row r="34" spans="2:35" ht="15.75" hidden="1" customHeight="1" x14ac:dyDescent="0.25">
      <c r="B34" s="1"/>
      <c r="C34" s="1"/>
      <c r="D34" s="47">
        <f>D33+F33</f>
        <v>0</v>
      </c>
      <c r="E34" s="66">
        <f>E33+G33</f>
        <v>0</v>
      </c>
      <c r="F34" s="1"/>
      <c r="G34" s="1"/>
      <c r="H34" s="1">
        <f t="shared" si="3"/>
        <v>0</v>
      </c>
      <c r="I34" s="1"/>
      <c r="J34" s="1"/>
      <c r="K34" s="1">
        <f>K33+M33</f>
        <v>0</v>
      </c>
      <c r="L34" s="1">
        <f>L33+N33</f>
        <v>0</v>
      </c>
      <c r="M34" s="1">
        <f>L34+K34</f>
        <v>0</v>
      </c>
      <c r="N34" s="1"/>
      <c r="O34" s="1">
        <f>SUM(O29:O33)</f>
        <v>0</v>
      </c>
      <c r="P34" s="1"/>
      <c r="Q34" s="1"/>
      <c r="R34" s="28">
        <f>R29+T29</f>
        <v>0</v>
      </c>
      <c r="S34" s="28">
        <f>S29+U29</f>
        <v>0</v>
      </c>
      <c r="T34" s="28">
        <f>S34+R34</f>
        <v>0</v>
      </c>
      <c r="U34" s="1"/>
      <c r="W34" s="1"/>
      <c r="X34" s="1"/>
      <c r="Y34" s="87">
        <f>Y29+AA29</f>
        <v>0</v>
      </c>
      <c r="Z34" s="87">
        <f>Z29+AB29</f>
        <v>0</v>
      </c>
      <c r="AA34" s="88">
        <f>Z34+Y34</f>
        <v>0</v>
      </c>
      <c r="AB34" s="1"/>
      <c r="AC34" s="1"/>
      <c r="AD34" s="1"/>
      <c r="AE34" s="1"/>
      <c r="AF34" s="67"/>
      <c r="AG34" s="67"/>
      <c r="AH34" s="67"/>
      <c r="AI34" s="67"/>
    </row>
    <row r="35" spans="2:35" ht="15.75" hidden="1" customHeight="1" x14ac:dyDescent="0.3">
      <c r="B35" s="8"/>
      <c r="C35" s="9"/>
      <c r="D35" s="41">
        <f>SUM(D29:D34)</f>
        <v>0</v>
      </c>
      <c r="E35" s="8">
        <f>SUM(E29:E34)</f>
        <v>0</v>
      </c>
      <c r="F35" s="41">
        <f>SUM(F29:F34)</f>
        <v>0</v>
      </c>
      <c r="G35" s="8">
        <f>SUM(G29:G33)</f>
        <v>0</v>
      </c>
      <c r="H35" s="8">
        <f>SUM(H29:H34)</f>
        <v>0</v>
      </c>
      <c r="I35" s="8"/>
      <c r="J35" s="30">
        <f>SUM(J29:J34)</f>
        <v>0</v>
      </c>
      <c r="K35" s="61">
        <f>SUM(K29:K33)</f>
        <v>0</v>
      </c>
      <c r="L35" s="62">
        <f>SUM(L29:L33)</f>
        <v>0</v>
      </c>
      <c r="M35" s="61">
        <f>SUM(M29:M33)</f>
        <v>0</v>
      </c>
      <c r="N35" s="62">
        <f>SUM(N29:N33)</f>
        <v>0</v>
      </c>
      <c r="O35" s="38">
        <f>SUM(O29:O34)</f>
        <v>0</v>
      </c>
      <c r="P35" s="38">
        <f>SUM(P29:P34)</f>
        <v>0</v>
      </c>
      <c r="Q35" s="30">
        <f t="shared" ref="Q35:X35" si="4">SUM(Q29:Q33)</f>
        <v>0</v>
      </c>
      <c r="R35" s="61">
        <f t="shared" si="4"/>
        <v>0</v>
      </c>
      <c r="S35" s="62">
        <f t="shared" si="4"/>
        <v>0</v>
      </c>
      <c r="T35" s="61">
        <f t="shared" si="4"/>
        <v>0</v>
      </c>
      <c r="U35" s="62">
        <f t="shared" si="4"/>
        <v>0</v>
      </c>
      <c r="V35" s="8">
        <f ca="1">SUM(V29:V36)</f>
        <v>6174</v>
      </c>
      <c r="W35" s="38">
        <f t="shared" si="4"/>
        <v>0</v>
      </c>
      <c r="X35" s="30">
        <f t="shared" si="4"/>
        <v>0</v>
      </c>
      <c r="Y35" s="61">
        <f t="shared" ref="Y35:AB35" si="5">SUM(Y29:Y33)</f>
        <v>0</v>
      </c>
      <c r="Z35" s="62">
        <f t="shared" si="5"/>
        <v>0</v>
      </c>
      <c r="AA35" s="61">
        <f t="shared" si="5"/>
        <v>0</v>
      </c>
      <c r="AB35" s="62">
        <f t="shared" si="5"/>
        <v>0</v>
      </c>
      <c r="AC35" s="8">
        <f>SUM(AC29:AC33)</f>
        <v>0</v>
      </c>
      <c r="AD35" s="8">
        <f>SUM(AD29:AD33)</f>
        <v>0</v>
      </c>
      <c r="AE35" s="98">
        <f>SUM(AE29:AE33)</f>
        <v>0</v>
      </c>
      <c r="AF35" s="67"/>
      <c r="AG35" s="67"/>
      <c r="AH35" s="67"/>
      <c r="AI35" s="67"/>
    </row>
    <row r="36" spans="2:35" ht="15.75" hidden="1" customHeight="1" x14ac:dyDescent="0.25">
      <c r="B36" s="1"/>
      <c r="C36" s="7"/>
      <c r="D36" s="1"/>
      <c r="E36" s="1"/>
      <c r="F36" s="1"/>
      <c r="G36" s="1"/>
      <c r="H36" s="1">
        <f>H35*0.3</f>
        <v>0</v>
      </c>
      <c r="I36" s="1"/>
      <c r="J36" s="1"/>
      <c r="K36" s="48">
        <f>K35+M35</f>
        <v>0</v>
      </c>
      <c r="L36" s="49">
        <f>L35+N35</f>
        <v>0</v>
      </c>
      <c r="M36" s="25"/>
      <c r="N36" s="25"/>
      <c r="O36" s="1"/>
      <c r="P36" s="1"/>
      <c r="Q36" s="1"/>
      <c r="R36" s="48">
        <f>R35+T35</f>
        <v>0</v>
      </c>
      <c r="S36" s="49">
        <f>S35+U35</f>
        <v>0</v>
      </c>
      <c r="T36" s="25"/>
      <c r="U36" s="25"/>
      <c r="V36" s="1"/>
      <c r="W36" s="1"/>
      <c r="X36" s="1"/>
      <c r="Y36" s="48">
        <f>Y35+AA35</f>
        <v>0</v>
      </c>
      <c r="Z36" s="49">
        <f>Z35+AB35</f>
        <v>0</v>
      </c>
      <c r="AA36" s="25"/>
      <c r="AB36" s="25"/>
      <c r="AC36" s="1"/>
      <c r="AD36" s="1"/>
      <c r="AE36" s="1"/>
    </row>
    <row r="37" spans="2:35" ht="15.75" hidden="1" customHeight="1" x14ac:dyDescent="0.25">
      <c r="B37" s="1"/>
      <c r="C37" s="7"/>
      <c r="D37" s="25"/>
      <c r="E37" s="25"/>
      <c r="F37" s="25"/>
      <c r="G37" s="25"/>
      <c r="H37" s="25"/>
      <c r="I37" s="1"/>
      <c r="J37" s="25"/>
      <c r="K37" s="26"/>
      <c r="L37" s="26"/>
      <c r="M37" s="27"/>
      <c r="N37" s="27"/>
      <c r="O37" s="1"/>
      <c r="P37" s="1"/>
      <c r="Q37" s="42"/>
      <c r="R37" s="1"/>
      <c r="S37" s="42"/>
      <c r="T37" s="1"/>
      <c r="U37" s="1"/>
      <c r="V37" s="1"/>
      <c r="W37" s="1"/>
      <c r="X37" s="42"/>
      <c r="Y37" s="1"/>
      <c r="Z37" s="42"/>
      <c r="AA37" s="1"/>
      <c r="AB37" s="1"/>
      <c r="AC37" s="99"/>
      <c r="AD37" s="1"/>
      <c r="AE37" s="1"/>
    </row>
    <row r="38" spans="2:35" ht="15.75" customHeight="1" x14ac:dyDescent="0.25">
      <c r="B38" s="1"/>
      <c r="C38" s="1"/>
      <c r="D38" s="1"/>
      <c r="E38" s="1"/>
      <c r="F38" s="1"/>
      <c r="G38" s="1"/>
      <c r="H38" s="1"/>
      <c r="I38" s="1"/>
      <c r="J38" s="1"/>
      <c r="K38" s="18" t="s">
        <v>5</v>
      </c>
      <c r="L38" s="18"/>
      <c r="M38" s="27"/>
      <c r="N38" s="3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5" ht="15.75" customHeight="1" x14ac:dyDescent="0.35">
      <c r="B39" s="1"/>
      <c r="C39" s="1"/>
      <c r="F39" s="3"/>
      <c r="G39" s="3"/>
      <c r="H39" s="2"/>
      <c r="I39" s="3"/>
      <c r="J39" s="2" t="s">
        <v>41</v>
      </c>
      <c r="K39" s="18"/>
      <c r="L39" s="18"/>
      <c r="M39" s="27"/>
      <c r="N39" s="31"/>
      <c r="O39" s="1"/>
      <c r="P39" s="1"/>
      <c r="Q39" s="1"/>
      <c r="R39" s="1"/>
      <c r="S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5" ht="15.75" customHeight="1" x14ac:dyDescent="0.35">
      <c r="B40" s="1"/>
      <c r="C40" s="1"/>
      <c r="F40" s="3"/>
      <c r="G40" s="3"/>
      <c r="H40" s="2"/>
      <c r="I40" s="3"/>
      <c r="J40" s="2" t="s">
        <v>27</v>
      </c>
      <c r="K40" s="26"/>
      <c r="L40" s="26"/>
      <c r="M40" s="27"/>
      <c r="N40" s="31"/>
      <c r="O40" s="1"/>
      <c r="P40" s="1"/>
      <c r="Q40" s="1"/>
      <c r="R40" s="1"/>
      <c r="S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5" ht="15.75" customHeight="1" x14ac:dyDescent="0.35">
      <c r="B41" s="1"/>
      <c r="C41" s="1"/>
      <c r="F41" s="3"/>
      <c r="G41" s="3"/>
      <c r="H41" s="2"/>
      <c r="I41" s="3"/>
      <c r="J41" s="2" t="s">
        <v>67</v>
      </c>
      <c r="K41" s="25"/>
      <c r="L41" s="25"/>
      <c r="M41" s="21"/>
      <c r="N41" s="20"/>
      <c r="O41" s="1"/>
      <c r="P41" s="1"/>
      <c r="Q41" s="1"/>
      <c r="R41" s="1"/>
      <c r="S41" s="2"/>
      <c r="T41" s="1"/>
      <c r="U41" s="1"/>
      <c r="V41" s="1"/>
      <c r="W41" s="1"/>
      <c r="X41" s="1"/>
      <c r="Y41" s="21"/>
      <c r="Z41" s="1"/>
      <c r="AA41" s="1"/>
      <c r="AB41" s="1"/>
      <c r="AC41" s="1"/>
      <c r="AD41" s="1"/>
      <c r="AE41" s="1"/>
    </row>
    <row r="42" spans="2:35" ht="15.75" customHeight="1" x14ac:dyDescent="0.25">
      <c r="B42" s="1"/>
      <c r="C42" s="32"/>
      <c r="D42" s="32"/>
      <c r="E42" s="32"/>
      <c r="F42" s="32"/>
      <c r="G42" s="32"/>
      <c r="H42" s="32"/>
      <c r="I42" s="32"/>
      <c r="J42" s="32"/>
      <c r="K42" s="25"/>
      <c r="L42" s="2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5" ht="15.75" customHeight="1" x14ac:dyDescent="0.25">
      <c r="B43" s="136" t="s">
        <v>11</v>
      </c>
      <c r="C43" s="137"/>
      <c r="D43" s="10"/>
      <c r="E43" s="10"/>
      <c r="F43" s="10"/>
      <c r="G43" s="10"/>
      <c r="H43" s="10" t="s">
        <v>28</v>
      </c>
      <c r="I43" s="10"/>
      <c r="J43" s="10"/>
      <c r="K43" s="135" t="s">
        <v>29</v>
      </c>
      <c r="L43" s="134"/>
      <c r="M43" s="134"/>
      <c r="N43" s="134"/>
      <c r="O43" s="134"/>
      <c r="P43" s="134"/>
      <c r="Q43" s="130"/>
      <c r="R43" s="135" t="s">
        <v>61</v>
      </c>
      <c r="S43" s="134"/>
      <c r="T43" s="134"/>
      <c r="U43" s="134"/>
      <c r="V43" s="134"/>
      <c r="W43" s="134"/>
      <c r="X43" s="130"/>
      <c r="Y43" s="143" t="s">
        <v>30</v>
      </c>
      <c r="Z43" s="134"/>
      <c r="AA43" s="134"/>
      <c r="AB43" s="134"/>
      <c r="AC43" s="134"/>
      <c r="AD43" s="134"/>
      <c r="AE43" s="130"/>
      <c r="AF43" s="144">
        <v>2026</v>
      </c>
    </row>
    <row r="44" spans="2:35" ht="15.75" customHeight="1" x14ac:dyDescent="0.25">
      <c r="B44" s="138"/>
      <c r="C44" s="139"/>
      <c r="D44" s="11" t="s">
        <v>14</v>
      </c>
      <c r="E44" s="11" t="s">
        <v>15</v>
      </c>
      <c r="F44" s="11" t="s">
        <v>16</v>
      </c>
      <c r="G44" s="11" t="s">
        <v>17</v>
      </c>
      <c r="H44" s="12" t="s">
        <v>18</v>
      </c>
      <c r="I44" s="12" t="s">
        <v>19</v>
      </c>
      <c r="J44" s="121" t="s">
        <v>20</v>
      </c>
      <c r="K44" s="14" t="s">
        <v>14</v>
      </c>
      <c r="L44" s="14" t="s">
        <v>15</v>
      </c>
      <c r="M44" s="14" t="s">
        <v>16</v>
      </c>
      <c r="N44" s="14" t="s">
        <v>17</v>
      </c>
      <c r="O44" s="15" t="s">
        <v>18</v>
      </c>
      <c r="P44" s="15" t="s">
        <v>19</v>
      </c>
      <c r="Q44" s="123" t="s">
        <v>20</v>
      </c>
      <c r="R44" s="11" t="s">
        <v>14</v>
      </c>
      <c r="S44" s="11" t="s">
        <v>15</v>
      </c>
      <c r="T44" s="11" t="s">
        <v>16</v>
      </c>
      <c r="U44" s="11" t="s">
        <v>17</v>
      </c>
      <c r="V44" s="12" t="s">
        <v>18</v>
      </c>
      <c r="W44" s="12" t="s">
        <v>19</v>
      </c>
      <c r="X44" s="124" t="s">
        <v>20</v>
      </c>
      <c r="Y44" s="14" t="s">
        <v>14</v>
      </c>
      <c r="Z44" s="14" t="s">
        <v>15</v>
      </c>
      <c r="AA44" s="14" t="s">
        <v>31</v>
      </c>
      <c r="AB44" s="14" t="s">
        <v>17</v>
      </c>
      <c r="AC44" s="14" t="s">
        <v>32</v>
      </c>
      <c r="AD44" s="14" t="s">
        <v>33</v>
      </c>
      <c r="AE44" s="126" t="s">
        <v>34</v>
      </c>
      <c r="AF44" s="144" t="s">
        <v>66</v>
      </c>
    </row>
    <row r="45" spans="2:35" ht="15.75" customHeight="1" x14ac:dyDescent="0.25">
      <c r="B45" s="131" t="s">
        <v>3</v>
      </c>
      <c r="C45" s="132"/>
      <c r="D45" s="113">
        <f t="shared" ref="D45:E49" si="6">D9+K9+R9</f>
        <v>255</v>
      </c>
      <c r="E45" s="114">
        <f t="shared" si="6"/>
        <v>256</v>
      </c>
      <c r="F45" s="114">
        <f t="shared" ref="F45:G49" si="7">SUM(F9+M9+T9)</f>
        <v>1859</v>
      </c>
      <c r="G45" s="114">
        <f t="shared" si="7"/>
        <v>1598</v>
      </c>
      <c r="H45" s="115">
        <v>2046</v>
      </c>
      <c r="I45" s="114">
        <v>5970</v>
      </c>
      <c r="J45" s="112">
        <f>SUM(H45:I45)</f>
        <v>8016</v>
      </c>
      <c r="K45" s="114">
        <f t="shared" ref="K45:N49" si="8">SUM(Y9+D19+K19)</f>
        <v>203</v>
      </c>
      <c r="L45" s="114">
        <f t="shared" si="8"/>
        <v>183</v>
      </c>
      <c r="M45" s="114">
        <f t="shared" si="8"/>
        <v>1484</v>
      </c>
      <c r="N45" s="114">
        <f t="shared" si="8"/>
        <v>1456</v>
      </c>
      <c r="O45" s="115">
        <v>1366</v>
      </c>
      <c r="P45" s="114">
        <v>40083</v>
      </c>
      <c r="Q45" s="112">
        <f>SUM(O45:P45)</f>
        <v>41449</v>
      </c>
      <c r="R45" s="116">
        <f t="shared" ref="R45:U49" si="9">SUM(R19+Y19+D29)</f>
        <v>0</v>
      </c>
      <c r="S45" s="116">
        <f t="shared" si="9"/>
        <v>0</v>
      </c>
      <c r="T45" s="116">
        <f t="shared" si="9"/>
        <v>0</v>
      </c>
      <c r="U45" s="116">
        <f t="shared" si="9"/>
        <v>0</v>
      </c>
      <c r="V45" s="111">
        <v>3929</v>
      </c>
      <c r="W45" s="116">
        <v>16001</v>
      </c>
      <c r="X45" s="125">
        <f>SUM(V45:W45)</f>
        <v>19930</v>
      </c>
      <c r="Y45" s="110">
        <f t="shared" ref="Y45:AB49" si="10">K29+R29+Y29</f>
        <v>0</v>
      </c>
      <c r="Z45" s="110">
        <f t="shared" si="10"/>
        <v>0</v>
      </c>
      <c r="AA45" s="110">
        <f t="shared" si="10"/>
        <v>0</v>
      </c>
      <c r="AB45" s="110">
        <f t="shared" si="10"/>
        <v>0</v>
      </c>
      <c r="AC45" s="115"/>
      <c r="AD45" s="110"/>
      <c r="AE45" s="127"/>
      <c r="AF45" s="146">
        <f>J45+Q45+X45+AE45</f>
        <v>69395</v>
      </c>
    </row>
    <row r="46" spans="2:35" ht="15.75" customHeight="1" x14ac:dyDescent="0.25">
      <c r="B46" s="131" t="s">
        <v>4</v>
      </c>
      <c r="C46" s="132"/>
      <c r="D46" s="117">
        <f t="shared" si="6"/>
        <v>80</v>
      </c>
      <c r="E46" s="118">
        <f t="shared" si="6"/>
        <v>68</v>
      </c>
      <c r="F46" s="118">
        <f t="shared" si="7"/>
        <v>595</v>
      </c>
      <c r="G46" s="118">
        <f t="shared" si="7"/>
        <v>527</v>
      </c>
      <c r="H46" s="115">
        <v>1640</v>
      </c>
      <c r="I46" s="118">
        <v>6291</v>
      </c>
      <c r="J46" s="122">
        <f>SUM(H46:I46)</f>
        <v>7931</v>
      </c>
      <c r="K46" s="114">
        <f t="shared" si="8"/>
        <v>40</v>
      </c>
      <c r="L46" s="114">
        <f t="shared" si="8"/>
        <v>46</v>
      </c>
      <c r="M46" s="114">
        <f t="shared" si="8"/>
        <v>406</v>
      </c>
      <c r="N46" s="114">
        <f t="shared" si="8"/>
        <v>363</v>
      </c>
      <c r="O46" s="115">
        <v>1117</v>
      </c>
      <c r="P46" s="114">
        <v>26277</v>
      </c>
      <c r="Q46" s="112">
        <f>SUM(O46:P46)</f>
        <v>27394</v>
      </c>
      <c r="R46" s="116">
        <f t="shared" si="9"/>
        <v>0</v>
      </c>
      <c r="S46" s="116">
        <f t="shared" si="9"/>
        <v>0</v>
      </c>
      <c r="T46" s="116">
        <f t="shared" si="9"/>
        <v>0</v>
      </c>
      <c r="U46" s="116">
        <f t="shared" si="9"/>
        <v>0</v>
      </c>
      <c r="V46" s="111">
        <v>1026</v>
      </c>
      <c r="W46" s="116">
        <v>21301</v>
      </c>
      <c r="X46" s="125">
        <f>SUM(V46:W46)</f>
        <v>22327</v>
      </c>
      <c r="Y46" s="110">
        <f t="shared" si="10"/>
        <v>0</v>
      </c>
      <c r="Z46" s="110">
        <f t="shared" si="10"/>
        <v>0</v>
      </c>
      <c r="AA46" s="110">
        <f t="shared" si="10"/>
        <v>0</v>
      </c>
      <c r="AB46" s="110">
        <f t="shared" si="10"/>
        <v>0</v>
      </c>
      <c r="AC46" s="115"/>
      <c r="AD46" s="110"/>
      <c r="AE46" s="127"/>
      <c r="AF46" s="146">
        <f t="shared" ref="AF46:AF49" si="11">J46+Q46+X46+AE46</f>
        <v>57652</v>
      </c>
    </row>
    <row r="47" spans="2:35" ht="15.75" customHeight="1" x14ac:dyDescent="0.25">
      <c r="B47" s="131" t="s">
        <v>6</v>
      </c>
      <c r="C47" s="132"/>
      <c r="D47" s="113">
        <f t="shared" si="6"/>
        <v>203</v>
      </c>
      <c r="E47" s="114">
        <f t="shared" si="6"/>
        <v>131</v>
      </c>
      <c r="F47" s="114">
        <f t="shared" si="7"/>
        <v>1167</v>
      </c>
      <c r="G47" s="114">
        <f t="shared" si="7"/>
        <v>882</v>
      </c>
      <c r="H47" s="115">
        <v>1971</v>
      </c>
      <c r="I47" s="114">
        <v>6078</v>
      </c>
      <c r="J47" s="112">
        <f>SUM(H47:I47)</f>
        <v>8049</v>
      </c>
      <c r="K47" s="114">
        <f t="shared" si="8"/>
        <v>109</v>
      </c>
      <c r="L47" s="114">
        <f t="shared" si="8"/>
        <v>90</v>
      </c>
      <c r="M47" s="114">
        <f t="shared" si="8"/>
        <v>618</v>
      </c>
      <c r="N47" s="114">
        <f t="shared" si="8"/>
        <v>536</v>
      </c>
      <c r="O47" s="115">
        <v>1719</v>
      </c>
      <c r="P47" s="114">
        <v>34278</v>
      </c>
      <c r="Q47" s="112">
        <f>SUM(O47:P47)</f>
        <v>35997</v>
      </c>
      <c r="R47" s="116">
        <f t="shared" si="9"/>
        <v>0</v>
      </c>
      <c r="S47" s="116">
        <f t="shared" si="9"/>
        <v>0</v>
      </c>
      <c r="T47" s="116">
        <f t="shared" si="9"/>
        <v>0</v>
      </c>
      <c r="U47" s="116">
        <f t="shared" si="9"/>
        <v>0</v>
      </c>
      <c r="V47" s="111">
        <v>2382</v>
      </c>
      <c r="W47" s="116">
        <v>21957</v>
      </c>
      <c r="X47" s="125">
        <f>SUM(V47:W47)</f>
        <v>24339</v>
      </c>
      <c r="Y47" s="110">
        <f t="shared" si="10"/>
        <v>0</v>
      </c>
      <c r="Z47" s="110">
        <f t="shared" si="10"/>
        <v>0</v>
      </c>
      <c r="AA47" s="110">
        <f t="shared" si="10"/>
        <v>0</v>
      </c>
      <c r="AB47" s="110">
        <f t="shared" si="10"/>
        <v>0</v>
      </c>
      <c r="AC47" s="115"/>
      <c r="AD47" s="110"/>
      <c r="AE47" s="127"/>
      <c r="AF47" s="146">
        <f t="shared" si="11"/>
        <v>68385</v>
      </c>
    </row>
    <row r="48" spans="2:35" ht="15.75" customHeight="1" x14ac:dyDescent="0.25">
      <c r="B48" s="131" t="s">
        <v>7</v>
      </c>
      <c r="C48" s="132"/>
      <c r="D48" s="113">
        <f t="shared" si="6"/>
        <v>173</v>
      </c>
      <c r="E48" s="114">
        <f t="shared" si="6"/>
        <v>206</v>
      </c>
      <c r="F48" s="114">
        <f t="shared" si="7"/>
        <v>1178</v>
      </c>
      <c r="G48" s="114">
        <f t="shared" si="7"/>
        <v>1006</v>
      </c>
      <c r="H48" s="115">
        <v>2701</v>
      </c>
      <c r="I48" s="114">
        <v>5906</v>
      </c>
      <c r="J48" s="112">
        <f>SUM(H48:I48)</f>
        <v>8607</v>
      </c>
      <c r="K48" s="114">
        <f t="shared" si="8"/>
        <v>134</v>
      </c>
      <c r="L48" s="114">
        <f t="shared" si="8"/>
        <v>160</v>
      </c>
      <c r="M48" s="114">
        <f t="shared" si="8"/>
        <v>982</v>
      </c>
      <c r="N48" s="114">
        <f t="shared" si="8"/>
        <v>797</v>
      </c>
      <c r="O48" s="115">
        <v>2583</v>
      </c>
      <c r="P48" s="114">
        <v>26304</v>
      </c>
      <c r="Q48" s="112">
        <f>SUM(O48:P48)</f>
        <v>28887</v>
      </c>
      <c r="R48" s="116">
        <f t="shared" si="9"/>
        <v>0</v>
      </c>
      <c r="S48" s="116">
        <f t="shared" si="9"/>
        <v>0</v>
      </c>
      <c r="T48" s="116">
        <f t="shared" si="9"/>
        <v>0</v>
      </c>
      <c r="U48" s="116">
        <f t="shared" si="9"/>
        <v>0</v>
      </c>
      <c r="V48" s="111">
        <v>2532</v>
      </c>
      <c r="W48" s="116">
        <v>21336</v>
      </c>
      <c r="X48" s="125">
        <f>SUM(V48:W48)</f>
        <v>23868</v>
      </c>
      <c r="Y48" s="110">
        <f t="shared" si="10"/>
        <v>0</v>
      </c>
      <c r="Z48" s="110">
        <f t="shared" si="10"/>
        <v>0</v>
      </c>
      <c r="AA48" s="110">
        <f t="shared" si="10"/>
        <v>0</v>
      </c>
      <c r="AB48" s="110">
        <f t="shared" si="10"/>
        <v>0</v>
      </c>
      <c r="AC48" s="115"/>
      <c r="AD48" s="110"/>
      <c r="AE48" s="127"/>
      <c r="AF48" s="146">
        <f t="shared" si="11"/>
        <v>61362</v>
      </c>
    </row>
    <row r="49" spans="2:32" ht="15.75" customHeight="1" x14ac:dyDescent="0.25">
      <c r="B49" s="131" t="s">
        <v>8</v>
      </c>
      <c r="C49" s="132"/>
      <c r="D49" s="113">
        <f t="shared" si="6"/>
        <v>50</v>
      </c>
      <c r="E49" s="114">
        <f t="shared" si="6"/>
        <v>61</v>
      </c>
      <c r="F49" s="114">
        <f t="shared" si="7"/>
        <v>582</v>
      </c>
      <c r="G49" s="114">
        <f t="shared" si="7"/>
        <v>411</v>
      </c>
      <c r="H49" s="115">
        <v>573</v>
      </c>
      <c r="I49" s="114">
        <v>6720</v>
      </c>
      <c r="J49" s="112">
        <f>SUM(H49:I49)</f>
        <v>7293</v>
      </c>
      <c r="K49" s="114">
        <f t="shared" si="8"/>
        <v>77</v>
      </c>
      <c r="L49" s="114">
        <f t="shared" si="8"/>
        <v>63</v>
      </c>
      <c r="M49" s="114">
        <f t="shared" si="8"/>
        <v>247</v>
      </c>
      <c r="N49" s="114">
        <f t="shared" si="8"/>
        <v>143</v>
      </c>
      <c r="O49" s="115">
        <v>449</v>
      </c>
      <c r="P49" s="114">
        <v>29282</v>
      </c>
      <c r="Q49" s="112">
        <f>SUM(O49:P49)</f>
        <v>29731</v>
      </c>
      <c r="R49" s="116">
        <f t="shared" si="9"/>
        <v>0</v>
      </c>
      <c r="S49" s="116">
        <f t="shared" si="9"/>
        <v>0</v>
      </c>
      <c r="T49" s="116">
        <f t="shared" si="9"/>
        <v>0</v>
      </c>
      <c r="U49" s="116">
        <f t="shared" si="9"/>
        <v>0</v>
      </c>
      <c r="V49" s="111">
        <v>627</v>
      </c>
      <c r="W49" s="116">
        <v>7161</v>
      </c>
      <c r="X49" s="125">
        <f>SUM(V49:W49)</f>
        <v>7788</v>
      </c>
      <c r="Y49" s="110">
        <f t="shared" si="10"/>
        <v>0</v>
      </c>
      <c r="Z49" s="110">
        <f t="shared" si="10"/>
        <v>0</v>
      </c>
      <c r="AA49" s="110">
        <f t="shared" si="10"/>
        <v>0</v>
      </c>
      <c r="AB49" s="110">
        <f t="shared" si="10"/>
        <v>0</v>
      </c>
      <c r="AC49" s="115"/>
      <c r="AD49" s="110"/>
      <c r="AE49" s="127"/>
      <c r="AF49" s="146">
        <f t="shared" si="11"/>
        <v>44812</v>
      </c>
    </row>
    <row r="50" spans="2:32" ht="15.75" customHeight="1" x14ac:dyDescent="0.25">
      <c r="B50" s="142" t="s">
        <v>65</v>
      </c>
      <c r="C50" s="142"/>
      <c r="D50" s="119"/>
      <c r="E50" s="119"/>
      <c r="F50" s="120"/>
      <c r="G50" s="119"/>
      <c r="H50" s="128">
        <f>SUM(H45:H49)</f>
        <v>8931</v>
      </c>
      <c r="I50" s="128">
        <f>SUM(I45:I49)</f>
        <v>30965</v>
      </c>
      <c r="J50" s="128">
        <f>SUM(J45:J49)</f>
        <v>39896</v>
      </c>
      <c r="K50" s="128"/>
      <c r="L50" s="128"/>
      <c r="M50" s="128"/>
      <c r="N50" s="128"/>
      <c r="O50" s="128">
        <f>SUM(O45:O49)</f>
        <v>7234</v>
      </c>
      <c r="P50" s="128">
        <f>SUM(P45:P49)</f>
        <v>156224</v>
      </c>
      <c r="Q50" s="128">
        <f>SUM(Q45:Q48)</f>
        <v>133727</v>
      </c>
      <c r="R50" s="128"/>
      <c r="S50" s="128"/>
      <c r="T50" s="128"/>
      <c r="U50" s="128"/>
      <c r="V50" s="128">
        <f>SUM(V45:V49)</f>
        <v>10496</v>
      </c>
      <c r="W50" s="128">
        <f>SUM(W45:W49)</f>
        <v>87756</v>
      </c>
      <c r="X50" s="128">
        <f>SUM(X45:X49)</f>
        <v>98252</v>
      </c>
      <c r="Y50" s="128"/>
      <c r="Z50" s="128"/>
      <c r="AA50" s="128"/>
      <c r="AB50" s="128"/>
      <c r="AC50" s="128">
        <f>SUM(AC45:AC49)</f>
        <v>0</v>
      </c>
      <c r="AD50" s="128">
        <f>SUM(AD45:AD49)</f>
        <v>0</v>
      </c>
      <c r="AE50" s="128">
        <f>SUM(AE45:AE49)</f>
        <v>0</v>
      </c>
      <c r="AF50" s="145">
        <f>SUM(AF45:AF49)</f>
        <v>301606</v>
      </c>
    </row>
    <row r="51" spans="2:32" ht="15.75" customHeight="1" x14ac:dyDescent="0.25">
      <c r="B51" s="1"/>
      <c r="C51" s="20"/>
      <c r="D51" s="1"/>
      <c r="E51" s="1"/>
      <c r="F51" s="2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2" ht="15.75" customHeight="1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2" ht="15.75" hidden="1" customHeight="1" x14ac:dyDescent="0.25">
      <c r="P53" s="76"/>
      <c r="Q53" s="77" t="s">
        <v>14</v>
      </c>
      <c r="R53" s="77" t="s">
        <v>42</v>
      </c>
      <c r="S53" s="77" t="s">
        <v>43</v>
      </c>
      <c r="T53" s="77" t="s">
        <v>44</v>
      </c>
      <c r="U53" s="77" t="s">
        <v>45</v>
      </c>
      <c r="V53" s="77" t="s">
        <v>46</v>
      </c>
      <c r="W53" s="77" t="s">
        <v>47</v>
      </c>
      <c r="X53" s="77" t="s">
        <v>45</v>
      </c>
      <c r="Y53" s="78" t="s">
        <v>48</v>
      </c>
      <c r="Z53" s="92" t="s">
        <v>58</v>
      </c>
      <c r="AA53" s="91" t="s">
        <v>57</v>
      </c>
      <c r="AB53" s="84" t="s">
        <v>62</v>
      </c>
      <c r="AC53" s="85">
        <v>45637</v>
      </c>
      <c r="AE53" s="90">
        <v>0.9</v>
      </c>
    </row>
    <row r="54" spans="2:32" ht="15.75" hidden="1" customHeight="1" x14ac:dyDescent="0.25">
      <c r="P54" s="104" t="s">
        <v>60</v>
      </c>
      <c r="Q54" s="77">
        <f t="shared" ref="Q54:T58" si="12">D45+K45+R45+Y45</f>
        <v>458</v>
      </c>
      <c r="R54" s="76">
        <f t="shared" si="12"/>
        <v>439</v>
      </c>
      <c r="S54" s="76">
        <f t="shared" si="12"/>
        <v>3343</v>
      </c>
      <c r="T54" s="76">
        <f t="shared" si="12"/>
        <v>3054</v>
      </c>
      <c r="U54" s="79">
        <f>SUM(Q54:T54)</f>
        <v>7294</v>
      </c>
      <c r="V54" s="93">
        <f>Q54+S54</f>
        <v>3801</v>
      </c>
      <c r="W54" s="95">
        <f>R54+T54</f>
        <v>3493</v>
      </c>
      <c r="X54" s="79">
        <f>V54+W54</f>
        <v>7294</v>
      </c>
      <c r="Y54" s="75">
        <f>I45+P45+W45+AD45</f>
        <v>62054</v>
      </c>
      <c r="Z54" s="43">
        <f>X54+Y54</f>
        <v>69348</v>
      </c>
      <c r="AA54" s="89">
        <v>90.03</v>
      </c>
      <c r="AB54" s="75">
        <v>105000</v>
      </c>
      <c r="AC54" s="82">
        <f>AB54-Z54</f>
        <v>35652</v>
      </c>
      <c r="AD54" s="83" t="s">
        <v>49</v>
      </c>
      <c r="AE54" s="86">
        <v>31500</v>
      </c>
    </row>
    <row r="55" spans="2:32" ht="15.75" hidden="1" customHeight="1" x14ac:dyDescent="0.25">
      <c r="P55" s="77" t="s">
        <v>50</v>
      </c>
      <c r="Q55" s="77">
        <f t="shared" si="12"/>
        <v>120</v>
      </c>
      <c r="R55" s="76">
        <f t="shared" si="12"/>
        <v>114</v>
      </c>
      <c r="S55" s="76">
        <f t="shared" si="12"/>
        <v>1001</v>
      </c>
      <c r="T55" s="76">
        <f t="shared" si="12"/>
        <v>890</v>
      </c>
      <c r="U55" s="79">
        <f t="shared" ref="U55:U58" si="13">SUM(Q55:T55)</f>
        <v>2125</v>
      </c>
      <c r="V55" s="93">
        <f t="shared" ref="V55:V58" si="14">Q55+S55</f>
        <v>1121</v>
      </c>
      <c r="W55" s="95">
        <f t="shared" ref="W55:W58" si="15">R55+T55</f>
        <v>1004</v>
      </c>
      <c r="X55" s="79">
        <f t="shared" ref="X55:X58" si="16">V55+W55</f>
        <v>2125</v>
      </c>
      <c r="Y55" s="75">
        <f>I46+P46+W46+AD46</f>
        <v>53869</v>
      </c>
      <c r="Z55" s="43">
        <f t="shared" ref="Z55:Z58" si="17">X55+Y55</f>
        <v>55994</v>
      </c>
      <c r="AA55" s="89">
        <v>167.02</v>
      </c>
      <c r="AB55" s="75">
        <v>80000</v>
      </c>
      <c r="AC55" s="82">
        <f t="shared" ref="AC55:AC58" si="18">AB55-Z55</f>
        <v>24006</v>
      </c>
      <c r="AD55" s="83" t="s">
        <v>54</v>
      </c>
      <c r="AE55" s="86"/>
    </row>
    <row r="56" spans="2:32" ht="15.75" hidden="1" customHeight="1" x14ac:dyDescent="0.25">
      <c r="P56" s="77" t="s">
        <v>51</v>
      </c>
      <c r="Q56" s="77">
        <f t="shared" si="12"/>
        <v>312</v>
      </c>
      <c r="R56" s="76">
        <f t="shared" si="12"/>
        <v>221</v>
      </c>
      <c r="S56" s="76">
        <f t="shared" si="12"/>
        <v>1785</v>
      </c>
      <c r="T56" s="76">
        <f t="shared" si="12"/>
        <v>1418</v>
      </c>
      <c r="U56" s="79">
        <f t="shared" si="13"/>
        <v>3736</v>
      </c>
      <c r="V56" s="93">
        <f t="shared" si="14"/>
        <v>2097</v>
      </c>
      <c r="W56" s="95">
        <f t="shared" si="15"/>
        <v>1639</v>
      </c>
      <c r="X56" s="79">
        <f t="shared" si="16"/>
        <v>3736</v>
      </c>
      <c r="Y56" s="75">
        <f>I47+P47+W47+AD47</f>
        <v>62313</v>
      </c>
      <c r="Z56" s="43">
        <f t="shared" si="17"/>
        <v>66049</v>
      </c>
      <c r="AA56" s="89">
        <v>106.76</v>
      </c>
      <c r="AB56" s="75">
        <v>90000</v>
      </c>
      <c r="AC56" s="82">
        <f t="shared" si="18"/>
        <v>23951</v>
      </c>
      <c r="AD56" s="83" t="s">
        <v>51</v>
      </c>
      <c r="AE56" s="86"/>
    </row>
    <row r="57" spans="2:32" ht="15.75" hidden="1" customHeight="1" x14ac:dyDescent="0.25">
      <c r="P57" s="77" t="s">
        <v>52</v>
      </c>
      <c r="Q57" s="77">
        <f t="shared" si="12"/>
        <v>307</v>
      </c>
      <c r="R57" s="76">
        <f t="shared" si="12"/>
        <v>366</v>
      </c>
      <c r="S57" s="76">
        <f t="shared" si="12"/>
        <v>2160</v>
      </c>
      <c r="T57" s="76">
        <f t="shared" si="12"/>
        <v>1803</v>
      </c>
      <c r="U57" s="79">
        <f t="shared" si="13"/>
        <v>4636</v>
      </c>
      <c r="V57" s="93">
        <f t="shared" si="14"/>
        <v>2467</v>
      </c>
      <c r="W57" s="95">
        <f t="shared" si="15"/>
        <v>2169</v>
      </c>
      <c r="X57" s="79">
        <f t="shared" si="16"/>
        <v>4636</v>
      </c>
      <c r="Y57" s="75">
        <f>I48+P48+W48+AD48</f>
        <v>53546</v>
      </c>
      <c r="Z57" s="43">
        <f t="shared" si="17"/>
        <v>58182</v>
      </c>
      <c r="AA57" s="89">
        <v>90.01</v>
      </c>
      <c r="AB57" s="75">
        <v>95000</v>
      </c>
      <c r="AC57" s="82">
        <f t="shared" si="18"/>
        <v>36818</v>
      </c>
      <c r="AD57" s="83" t="s">
        <v>55</v>
      </c>
      <c r="AE57" s="86">
        <v>22500</v>
      </c>
    </row>
    <row r="58" spans="2:32" ht="15.75" hidden="1" customHeight="1" x14ac:dyDescent="0.25">
      <c r="P58" s="77" t="s">
        <v>53</v>
      </c>
      <c r="Q58" s="77">
        <f t="shared" si="12"/>
        <v>127</v>
      </c>
      <c r="R58" s="76">
        <f t="shared" si="12"/>
        <v>124</v>
      </c>
      <c r="S58" s="76">
        <f t="shared" si="12"/>
        <v>829</v>
      </c>
      <c r="T58" s="76">
        <f t="shared" si="12"/>
        <v>554</v>
      </c>
      <c r="U58" s="79">
        <f t="shared" si="13"/>
        <v>1634</v>
      </c>
      <c r="V58" s="93">
        <f t="shared" si="14"/>
        <v>956</v>
      </c>
      <c r="W58" s="95">
        <f t="shared" si="15"/>
        <v>678</v>
      </c>
      <c r="X58" s="79">
        <f t="shared" si="16"/>
        <v>1634</v>
      </c>
      <c r="Y58" s="75">
        <f>I49+P49+W49+AD49</f>
        <v>43163</v>
      </c>
      <c r="Z58" s="43">
        <f t="shared" si="17"/>
        <v>44797</v>
      </c>
      <c r="AA58" s="89">
        <v>90</v>
      </c>
      <c r="AB58" s="75">
        <v>45000</v>
      </c>
      <c r="AC58" s="82">
        <f t="shared" si="18"/>
        <v>203</v>
      </c>
      <c r="AD58" s="83" t="s">
        <v>56</v>
      </c>
      <c r="AE58" s="86">
        <v>13500</v>
      </c>
    </row>
    <row r="59" spans="2:32" ht="15.75" hidden="1" customHeight="1" x14ac:dyDescent="0.25">
      <c r="P59" s="75"/>
      <c r="Q59" s="105">
        <f>SUM(Q54:Q58)</f>
        <v>1324</v>
      </c>
      <c r="R59" s="105">
        <f>SUM(R54:R58)</f>
        <v>1264</v>
      </c>
      <c r="S59" s="105">
        <f>SUM(S54:S58)</f>
        <v>9118</v>
      </c>
      <c r="T59" s="105">
        <f>SUM(T54:T58)</f>
        <v>7719</v>
      </c>
      <c r="U59" s="79">
        <f t="shared" ref="U59" si="19">SUM(Q59:T59)</f>
        <v>19425</v>
      </c>
      <c r="V59" s="94">
        <f t="shared" ref="V59:W59" si="20">Q59+S59</f>
        <v>10442</v>
      </c>
      <c r="W59" s="96">
        <f t="shared" si="20"/>
        <v>8983</v>
      </c>
      <c r="X59" s="80">
        <f t="shared" ref="X59:X60" si="21">V59+W59</f>
        <v>19425</v>
      </c>
      <c r="Y59" s="75"/>
      <c r="Z59" s="75"/>
      <c r="AA59" s="75"/>
      <c r="AB59" s="75"/>
      <c r="AE59" s="86"/>
    </row>
    <row r="60" spans="2:32" ht="15.75" hidden="1" customHeight="1" x14ac:dyDescent="0.25">
      <c r="P60" s="75"/>
      <c r="Q60" s="75"/>
      <c r="R60" s="75"/>
      <c r="S60" s="75"/>
      <c r="T60" s="75"/>
      <c r="U60" s="81">
        <f>SUM(U54:U58)</f>
        <v>19425</v>
      </c>
      <c r="V60" s="94">
        <f>SUM(V54:V58)</f>
        <v>10442</v>
      </c>
      <c r="W60" s="96">
        <f>SUM(W54:W58)</f>
        <v>8983</v>
      </c>
      <c r="X60" s="81">
        <f t="shared" si="21"/>
        <v>19425</v>
      </c>
      <c r="Y60" s="75"/>
      <c r="Z60" s="43">
        <f>SUM(Z54:Z59)</f>
        <v>294370</v>
      </c>
      <c r="AA60" s="75"/>
      <c r="AB60" s="75">
        <f>SUM(AB54:AB59)</f>
        <v>415000</v>
      </c>
      <c r="AC60" s="82">
        <f>AB60-Z60</f>
        <v>120630</v>
      </c>
    </row>
    <row r="61" spans="2:32" ht="15.75" hidden="1" customHeight="1" x14ac:dyDescent="0.25">
      <c r="P61" s="75"/>
      <c r="Q61" s="75"/>
      <c r="R61" s="75"/>
      <c r="S61" s="75"/>
      <c r="T61" s="75"/>
      <c r="U61" s="75"/>
      <c r="V61" s="97"/>
      <c r="W61" s="75"/>
      <c r="X61" s="75"/>
      <c r="Y61" s="75"/>
      <c r="Z61" s="75"/>
      <c r="AA61" s="75"/>
      <c r="AB61" s="75"/>
    </row>
    <row r="62" spans="2:32" ht="15.75" hidden="1" customHeight="1" x14ac:dyDescent="0.25">
      <c r="P62" s="75"/>
      <c r="Q62" s="75"/>
      <c r="R62" s="75"/>
      <c r="S62" s="75"/>
      <c r="T62" s="75" t="s">
        <v>63</v>
      </c>
      <c r="U62" s="75">
        <f>U54/6</f>
        <v>1215.6666666666667</v>
      </c>
      <c r="V62" s="75">
        <f>U62*5</f>
        <v>6078.3333333333339</v>
      </c>
      <c r="W62" s="75"/>
      <c r="X62" s="75"/>
      <c r="Y62" s="75"/>
      <c r="Z62" s="75"/>
      <c r="AA62" s="75"/>
      <c r="AB62" s="75"/>
      <c r="AE62">
        <f>AC54/7</f>
        <v>5093.1428571428569</v>
      </c>
    </row>
    <row r="63" spans="2:32" ht="15.75" hidden="1" customHeight="1" x14ac:dyDescent="0.25">
      <c r="T63" t="s">
        <v>64</v>
      </c>
      <c r="U63">
        <f>U56/6</f>
        <v>622.66666666666663</v>
      </c>
      <c r="V63" s="107">
        <f t="shared" ref="V63:V64" si="22">U63*5</f>
        <v>3113.333333333333</v>
      </c>
      <c r="Y63" s="78" t="s">
        <v>48</v>
      </c>
      <c r="AB63">
        <v>25000</v>
      </c>
      <c r="AC63">
        <v>100</v>
      </c>
      <c r="AE63" s="106">
        <f t="shared" ref="AE63:AE66" si="23">AC55/7</f>
        <v>3429.4285714285716</v>
      </c>
    </row>
    <row r="64" spans="2:32" ht="15.75" hidden="1" customHeight="1" x14ac:dyDescent="0.25">
      <c r="T64" t="s">
        <v>35</v>
      </c>
      <c r="U64">
        <f>U57/6</f>
        <v>772.66666666666663</v>
      </c>
      <c r="V64" s="107">
        <f t="shared" si="22"/>
        <v>3863.333333333333</v>
      </c>
      <c r="AB64">
        <v>22504</v>
      </c>
      <c r="AC64">
        <f>(AB64*AC63)/AB63</f>
        <v>90.016000000000005</v>
      </c>
      <c r="AE64" s="106">
        <f t="shared" si="23"/>
        <v>3421.5714285714284</v>
      </c>
    </row>
    <row r="65" spans="31:31" ht="15.75" hidden="1" customHeight="1" x14ac:dyDescent="0.25">
      <c r="AE65" s="106">
        <f t="shared" si="23"/>
        <v>5259.7142857142853</v>
      </c>
    </row>
    <row r="66" spans="31:31" ht="15.75" hidden="1" customHeight="1" x14ac:dyDescent="0.25">
      <c r="AE66" s="106">
        <f t="shared" si="23"/>
        <v>29</v>
      </c>
    </row>
    <row r="67" spans="31:31" ht="15.75" hidden="1" customHeight="1" x14ac:dyDescent="0.25"/>
    <row r="68" spans="31:31" ht="15.75" customHeight="1" x14ac:dyDescent="0.25"/>
    <row r="69" spans="31:31" ht="15.75" customHeight="1" x14ac:dyDescent="0.25"/>
    <row r="70" spans="31:31" ht="15.75" customHeight="1" x14ac:dyDescent="0.25"/>
    <row r="71" spans="31:31" ht="15.75" customHeight="1" x14ac:dyDescent="0.25"/>
    <row r="72" spans="31:31" ht="15.75" customHeight="1" x14ac:dyDescent="0.25"/>
    <row r="73" spans="31:31" ht="15.75" customHeight="1" x14ac:dyDescent="0.25"/>
    <row r="74" spans="31:31" ht="15.75" customHeight="1" x14ac:dyDescent="0.25"/>
    <row r="75" spans="31:31" ht="15.75" customHeight="1" x14ac:dyDescent="0.25"/>
    <row r="76" spans="31:31" ht="15.75" customHeight="1" x14ac:dyDescent="0.25"/>
    <row r="77" spans="31:31" ht="15.75" customHeight="1" x14ac:dyDescent="0.25"/>
    <row r="78" spans="31:31" ht="15.75" customHeight="1" x14ac:dyDescent="0.25"/>
    <row r="79" spans="31:31" ht="15.75" customHeight="1" x14ac:dyDescent="0.25"/>
    <row r="80" spans="31:3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</sheetData>
  <mergeCells count="39">
    <mergeCell ref="B50:C50"/>
    <mergeCell ref="R43:X43"/>
    <mergeCell ref="Y17:AE17"/>
    <mergeCell ref="B23:C23"/>
    <mergeCell ref="B27:C28"/>
    <mergeCell ref="D27:J27"/>
    <mergeCell ref="K17:Q17"/>
    <mergeCell ref="R17:X17"/>
    <mergeCell ref="B49:C49"/>
    <mergeCell ref="B29:C29"/>
    <mergeCell ref="B30:C30"/>
    <mergeCell ref="B48:C48"/>
    <mergeCell ref="Y43:AE43"/>
    <mergeCell ref="K43:Q43"/>
    <mergeCell ref="R7:X7"/>
    <mergeCell ref="Y7:AE7"/>
    <mergeCell ref="B7:C8"/>
    <mergeCell ref="K7:Q7"/>
    <mergeCell ref="B31:C31"/>
    <mergeCell ref="B9:C9"/>
    <mergeCell ref="B10:C10"/>
    <mergeCell ref="B11:C11"/>
    <mergeCell ref="B12:C12"/>
    <mergeCell ref="B13:C13"/>
    <mergeCell ref="B17:C18"/>
    <mergeCell ref="D17:J17"/>
    <mergeCell ref="K27:Q27"/>
    <mergeCell ref="R27:X27"/>
    <mergeCell ref="Y27:AE27"/>
    <mergeCell ref="B19:C19"/>
    <mergeCell ref="B20:C20"/>
    <mergeCell ref="B21:C21"/>
    <mergeCell ref="B22:C22"/>
    <mergeCell ref="B46:C46"/>
    <mergeCell ref="B47:C47"/>
    <mergeCell ref="B32:C32"/>
    <mergeCell ref="B33:C33"/>
    <mergeCell ref="B43:C44"/>
    <mergeCell ref="B45:C45"/>
  </mergeCells>
  <pageMargins left="0.70866141732283472" right="0.70866141732283472" top="0.74803149606299213" bottom="0.74803149606299213" header="0" footer="0"/>
  <pageSetup scale="95" orientation="landscape" r:id="rId1"/>
  <rowBreaks count="2" manualBreakCount="2">
    <brk id="1" max="31" man="1"/>
    <brk id="37" max="3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2026</vt:lpstr>
      <vt:lpstr>'Concentrado 2026'!Área_de_impresión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IECG Conservación</dc:creator>
  <cp:lastModifiedBy>iec940202@hotmail.com</cp:lastModifiedBy>
  <cp:lastPrinted>2026-10-26T21:55:25Z</cp:lastPrinted>
  <dcterms:created xsi:type="dcterms:W3CDTF">2023-03-27T20:25:35Z</dcterms:created>
  <dcterms:modified xsi:type="dcterms:W3CDTF">2026-10-26T21:56:56Z</dcterms:modified>
</cp:coreProperties>
</file>