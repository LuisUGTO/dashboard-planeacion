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ec94\OneDrive\Escritorio\SUB DPAC\PLANEACIÓN\INDICADORES\"/>
    </mc:Choice>
  </mc:AlternateContent>
  <bookViews>
    <workbookView xWindow="0" yWindow="0" windowWidth="19200" windowHeight="726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27" i="1" l="1"/>
  <c r="W28" i="1"/>
  <c r="W29" i="1"/>
  <c r="W26" i="1" l="1"/>
  <c r="W25" i="1"/>
  <c r="W24" i="1"/>
  <c r="W23" i="1"/>
  <c r="W22" i="1"/>
  <c r="W21" i="1"/>
  <c r="W20" i="1"/>
  <c r="W19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W3" i="1"/>
  <c r="W2" i="1"/>
</calcChain>
</file>

<file path=xl/sharedStrings.xml><?xml version="1.0" encoding="utf-8"?>
<sst xmlns="http://schemas.openxmlformats.org/spreadsheetml/2006/main" count="268" uniqueCount="155">
  <si>
    <t>Fecha</t>
  </si>
  <si>
    <t>Cantidad</t>
  </si>
  <si>
    <t>Evento</t>
  </si>
  <si>
    <t>Artista</t>
  </si>
  <si>
    <t>Sede</t>
  </si>
  <si>
    <t>Ciudad</t>
  </si>
  <si>
    <t>Programa</t>
  </si>
  <si>
    <t>Presupuesto</t>
  </si>
  <si>
    <t>Partida presupuestal</t>
  </si>
  <si>
    <t>Mujeres con discapacidad</t>
  </si>
  <si>
    <t>Hombre con discapacidad</t>
  </si>
  <si>
    <t>Adultos mayores mujeres</t>
  </si>
  <si>
    <t>Adultos mayores hombres</t>
  </si>
  <si>
    <t>Jovenes mujeres</t>
  </si>
  <si>
    <t>Jovenes hombres</t>
  </si>
  <si>
    <t>Niñas y adolescentes</t>
  </si>
  <si>
    <t>Niños y adolescentes</t>
  </si>
  <si>
    <t>Capacidades diferentes</t>
  </si>
  <si>
    <t>TOTAL</t>
  </si>
  <si>
    <t>Erase una vez RAP</t>
  </si>
  <si>
    <t>Cuauhtemoc Gustavo Vazquez García</t>
  </si>
  <si>
    <t>Poliforum</t>
  </si>
  <si>
    <t>León</t>
  </si>
  <si>
    <t>QC4139.2601</t>
  </si>
  <si>
    <t>$ 81,200.00</t>
  </si>
  <si>
    <t>SDPAC</t>
  </si>
  <si>
    <t>26/03/ 2026 - 29/03/2026</t>
  </si>
  <si>
    <t>Festival Ex Nihilo</t>
  </si>
  <si>
    <t>Varios</t>
  </si>
  <si>
    <t>Teatro Juárez</t>
  </si>
  <si>
    <t>Guanajuato</t>
  </si>
  <si>
    <t>QC4140.2601</t>
  </si>
  <si>
    <t>$ 100,000.00</t>
  </si>
  <si>
    <t>10/04/ 2026 - 12/04/2026</t>
  </si>
  <si>
    <t>Festival Medieval</t>
  </si>
  <si>
    <t>Alhóndiga de Granaditas</t>
  </si>
  <si>
    <t>$ 35,000.00</t>
  </si>
  <si>
    <t>Jurados Escenautas</t>
  </si>
  <si>
    <t>Trío Guanaxteco</t>
  </si>
  <si>
    <t>Centro Histórico</t>
  </si>
  <si>
    <t>Irapuato</t>
  </si>
  <si>
    <t>QC4140.2602</t>
  </si>
  <si>
    <t>$ 50,000.00</t>
  </si>
  <si>
    <t>Flor de Autonomía</t>
  </si>
  <si>
    <t>13/07/ 2026 - 16/07/2026</t>
  </si>
  <si>
    <t>Taller de novela</t>
  </si>
  <si>
    <t>J. de Jesús Hernández Ibarra</t>
  </si>
  <si>
    <t>QC4142.2601</t>
  </si>
  <si>
    <t>$ 23,200.00</t>
  </si>
  <si>
    <t>WAPA - Taller “Maquillaje escénico para la danza”</t>
  </si>
  <si>
    <t>David García Magaña</t>
  </si>
  <si>
    <t>QC4142.2603</t>
  </si>
  <si>
    <t>$ 11,600.00</t>
  </si>
  <si>
    <t>WAPA - Taller de coplas y décimas del huapango</t>
  </si>
  <si>
    <t>Neftalí Díaz</t>
  </si>
  <si>
    <t>Concierto San Felipe</t>
  </si>
  <si>
    <t>Luis Herman Miranda</t>
  </si>
  <si>
    <t>San Felipe</t>
  </si>
  <si>
    <t>$ 17,980.00</t>
  </si>
  <si>
    <t>Talleres FECA</t>
  </si>
  <si>
    <t>QC4102.2601</t>
  </si>
  <si>
    <t>$ 75,000.00</t>
  </si>
  <si>
    <t>Festival Escenautas</t>
  </si>
  <si>
    <t>Purísima del Rincón</t>
  </si>
  <si>
    <t>$ 1,129,527.77</t>
  </si>
  <si>
    <t>21/08/2026 - 27/08/2026</t>
  </si>
  <si>
    <t>Logística para asistencia al Festival de Teatro Nuevo León</t>
  </si>
  <si>
    <t>$ 59,118.11</t>
  </si>
  <si>
    <t>QC4102.2602</t>
  </si>
  <si>
    <t>Jurados FECA</t>
  </si>
  <si>
    <t>Beneficiaria Escenautas</t>
  </si>
  <si>
    <t>GA2477.2600</t>
  </si>
  <si>
    <t>29/06/2026 - 03/07/2026</t>
  </si>
  <si>
    <t>Taller FECA</t>
  </si>
  <si>
    <t>TRAZA PRODUCCIONES, S.C.</t>
  </si>
  <si>
    <t>Laura Elena Fernández Dávalos</t>
  </si>
  <si>
    <t>$30.276,00</t>
  </si>
  <si>
    <t>20/07/ 2026 - 26/07/2026</t>
  </si>
  <si>
    <t>Talleres primeras infancias</t>
  </si>
  <si>
    <t>Katia Isabel Jiménez Alcalá</t>
  </si>
  <si>
    <t>30/09/2026-31/12/2026</t>
  </si>
  <si>
    <t>Talleres de cartografías</t>
  </si>
  <si>
    <t>QC4051.2603</t>
  </si>
  <si>
    <t>17/07/2026 - 31/12/2026</t>
  </si>
  <si>
    <t>Estímulo publicación obra editorial Desde el faro (250 ejemplares)</t>
  </si>
  <si>
    <t>EQUISGENTE, S.C.</t>
  </si>
  <si>
    <t>10/08/2026 - 31/12/2026</t>
  </si>
  <si>
    <t>Estímulo presentación artística</t>
  </si>
  <si>
    <t>Juan Manuel García Belmonte</t>
  </si>
  <si>
    <t>17/08/2026 - 31/12/2026</t>
  </si>
  <si>
    <t>Humberto García Lázaro</t>
  </si>
  <si>
    <t>22/10/2026 - 31/12/2026</t>
  </si>
  <si>
    <t>Apoyo para participación del colectivo de teatro comunitario Soy Del Puño en la Semana XVIII de Teatro “Ray Garduñoˮ en Baja California.</t>
  </si>
  <si>
    <t>PB3571.2600</t>
  </si>
  <si>
    <t>Beneficiarios FECA</t>
  </si>
  <si>
    <t>QC4102.2603</t>
  </si>
  <si>
    <t xml:space="preserve">Luis Felipe Cabrera Puente  </t>
  </si>
  <si>
    <t>09/05/2026 - 10/05/2026</t>
  </si>
  <si>
    <t xml:space="preserve">8 eventos </t>
  </si>
  <si>
    <t>1 evento</t>
  </si>
  <si>
    <t>1 concierto</t>
  </si>
  <si>
    <t>1 taller</t>
  </si>
  <si>
    <t>5 talleres</t>
  </si>
  <si>
    <t>1 festival</t>
  </si>
  <si>
    <t>4 jurados</t>
  </si>
  <si>
    <t>30 beneficiarios</t>
  </si>
  <si>
    <t>13 beneficiarios</t>
  </si>
  <si>
    <t>17 apoyos</t>
  </si>
  <si>
    <t>6 jurados</t>
  </si>
  <si>
    <t>1 beneficiaria</t>
  </si>
  <si>
    <t>8 talleres</t>
  </si>
  <si>
    <t>4 talleres</t>
  </si>
  <si>
    <t>3 talleristas</t>
  </si>
  <si>
    <t>1 apoyo</t>
  </si>
  <si>
    <t>Rosa Elena Romero Alonso</t>
  </si>
  <si>
    <t>Casa de la Cultura de Valle de Santiago</t>
  </si>
  <si>
    <t>Casa Mariel</t>
  </si>
  <si>
    <t>01/05/2026 - 19/05/2026</t>
  </si>
  <si>
    <t>30/05/2026 - 31/05/2026</t>
  </si>
  <si>
    <t>31/05/2026 - 01/06/2026</t>
  </si>
  <si>
    <t>28/03/ 2026 - 30/03/2026</t>
  </si>
  <si>
    <t>Salvador Emmanuel Ontiveros Araiza</t>
  </si>
  <si>
    <t>Festival Medieval Guanajuato, Representante Legal Dante Rodríguez Zavala</t>
  </si>
  <si>
    <t>María Regina Rodríguez Luna
Patricia Michelle Guerra Adame
Celia Garza Vera
María Isabel Carrasco Durán</t>
  </si>
  <si>
    <t>Georgina Cortes Serna</t>
  </si>
  <si>
    <t>Karla Marisol Yáñez Oros</t>
  </si>
  <si>
    <t>Javier Morales Chávez</t>
  </si>
  <si>
    <t>Fernando Navarro Toriz
Natalia Gómez Vázquez
Luis Herman Miranda
Susana Salinas
Lorena María Azcona Chávez
Raquel Araujo Madera</t>
  </si>
  <si>
    <t>Sara Montserrath Pinedo Hernández
Paula Victoria Hernández Sevilla
Katia Isabel Jiménez Alcalá</t>
  </si>
  <si>
    <t>Virtuales</t>
  </si>
  <si>
    <t>Teatro de la Ciudad</t>
  </si>
  <si>
    <t>Estado de Guanajuato</t>
  </si>
  <si>
    <t>Doctor Mora
Manuel Doblado
Salvatierra
Valle de Santiago
Virtual</t>
  </si>
  <si>
    <t>Valle de Santiago</t>
  </si>
  <si>
    <t>Responsable</t>
  </si>
  <si>
    <t>15/04/2026-30/04/2026</t>
  </si>
  <si>
    <t>10/06/2026 - 31/12/2026</t>
  </si>
  <si>
    <t>29/05/2026 - 06/06/2026</t>
  </si>
  <si>
    <t>29/05/2026 - 31/12/2026</t>
  </si>
  <si>
    <t>10/07/2026 - 01/08/2026</t>
  </si>
  <si>
    <t>12/10/2026 - 23/10/2026</t>
  </si>
  <si>
    <t xml:space="preserve">Logística para asistencia al Congreso Gafete Negro </t>
  </si>
  <si>
    <t>14/10/2026 -31/12/2026</t>
  </si>
  <si>
    <t>10 apoyos</t>
  </si>
  <si>
    <t>Beneficiarias Cartografías</t>
  </si>
  <si>
    <t>Varias</t>
  </si>
  <si>
    <t>Logística para asistencia al Festival Literiario del Norte</t>
  </si>
  <si>
    <t>09/11/2026 - 16/11/2026</t>
  </si>
  <si>
    <t>2 apoyos</t>
  </si>
  <si>
    <t>Mujeres adultas</t>
  </si>
  <si>
    <t>Hombres adultos</t>
  </si>
  <si>
    <t>Estatus</t>
  </si>
  <si>
    <t>REALIZADO</t>
  </si>
  <si>
    <t>POR REALIZAR</t>
  </si>
  <si>
    <t>EN PROCESO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</si>
</sst>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Roboto"/>
    </font>
    <font>
      <b/>
      <sz val="10"/>
      <color rgb="FFFFFFFF"/>
      <name val="Roboto"/>
    </font>
    <font>
      <sz val="10"/>
      <color theme="1"/>
      <name val="Roboto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0B5394"/>
        <bgColor rgb="FF0B539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 applyBorder="1" applyAlignment="1">
      <alignment horizontal="center" vertical="center" wrapText="1"/>
    </xf>
    <xf numFmtId="44" fontId="2" fillId="0" borderId="0" xfId="1" applyFont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3" fillId="2" borderId="0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left" vertical="center" wrapText="1"/>
    </xf>
    <xf numFmtId="8" fontId="2" fillId="0" borderId="0" xfId="0" applyNumberFormat="1" applyFont="1" applyBorder="1" applyAlignment="1">
      <alignment horizontal="center" vertical="center" wrapText="1"/>
    </xf>
    <xf numFmtId="44" fontId="4" fillId="0" borderId="0" xfId="1" applyFont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9"/>
  <sheetViews>
    <sheetView tabSelected="1" zoomScale="69" workbookViewId="0">
      <selection activeCell="D26" sqref="D26"/>
    </sheetView>
  </sheetViews>
  <sheetFormatPr baseColWidth="10" defaultRowHeight="14.5"/>
  <cols>
    <col min="1" max="1" width="20.81640625" style="9" bestFit="1" customWidth="1"/>
    <col min="2" max="2" width="20.81640625" style="9" customWidth="1"/>
    <col min="3" max="3" width="13.1796875" style="9" customWidth="1"/>
    <col min="4" max="4" width="22.81640625" style="9" customWidth="1"/>
    <col min="5" max="5" width="23.81640625" style="15" customWidth="1"/>
    <col min="6" max="6" width="10.90625" style="9"/>
    <col min="7" max="7" width="13.90625" style="9" customWidth="1"/>
    <col min="8" max="8" width="15.7265625" style="9" customWidth="1"/>
    <col min="9" max="9" width="13.54296875" style="9" bestFit="1" customWidth="1"/>
    <col min="10" max="10" width="10.90625" style="9"/>
    <col min="11" max="11" width="14.453125" style="9" customWidth="1"/>
    <col min="12" max="16384" width="10.90625" style="9"/>
  </cols>
  <sheetData>
    <row r="1" spans="1:23" ht="52">
      <c r="A1" s="3" t="s">
        <v>0</v>
      </c>
      <c r="B1" s="3" t="s">
        <v>151</v>
      </c>
      <c r="C1" s="3" t="s">
        <v>1</v>
      </c>
      <c r="D1" s="3" t="s">
        <v>2</v>
      </c>
      <c r="E1" s="12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134</v>
      </c>
      <c r="L1" s="4" t="s">
        <v>149</v>
      </c>
      <c r="M1" s="4" t="s">
        <v>150</v>
      </c>
      <c r="N1" s="4" t="s">
        <v>9</v>
      </c>
      <c r="O1" s="4" t="s">
        <v>10</v>
      </c>
      <c r="P1" s="4" t="s">
        <v>11</v>
      </c>
      <c r="Q1" s="4" t="s">
        <v>12</v>
      </c>
      <c r="R1" s="4" t="s">
        <v>13</v>
      </c>
      <c r="S1" s="4" t="s">
        <v>14</v>
      </c>
      <c r="T1" s="4" t="s">
        <v>15</v>
      </c>
      <c r="U1" s="4" t="s">
        <v>16</v>
      </c>
      <c r="V1" s="4" t="s">
        <v>17</v>
      </c>
      <c r="W1" s="4" t="s">
        <v>18</v>
      </c>
    </row>
    <row r="2" spans="1:23" ht="25">
      <c r="A2" s="5" t="s">
        <v>97</v>
      </c>
      <c r="B2" s="5" t="s">
        <v>152</v>
      </c>
      <c r="C2" s="1" t="s">
        <v>99</v>
      </c>
      <c r="D2" s="1" t="s">
        <v>19</v>
      </c>
      <c r="E2" s="10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>
        <v>3390</v>
      </c>
      <c r="K2" s="1" t="s">
        <v>25</v>
      </c>
      <c r="L2" s="1">
        <v>63</v>
      </c>
      <c r="M2" s="1">
        <v>76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18</v>
      </c>
      <c r="U2" s="1">
        <v>23</v>
      </c>
      <c r="V2" s="1">
        <v>0</v>
      </c>
      <c r="W2" s="1">
        <f>SUM(L2:V2)</f>
        <v>180</v>
      </c>
    </row>
    <row r="3" spans="1:23" ht="25">
      <c r="A3" s="5" t="s">
        <v>26</v>
      </c>
      <c r="B3" s="5" t="s">
        <v>152</v>
      </c>
      <c r="C3" s="1" t="s">
        <v>98</v>
      </c>
      <c r="D3" s="1" t="s">
        <v>27</v>
      </c>
      <c r="E3" s="13" t="s">
        <v>121</v>
      </c>
      <c r="F3" s="1" t="s">
        <v>29</v>
      </c>
      <c r="G3" s="1" t="s">
        <v>30</v>
      </c>
      <c r="H3" s="1" t="s">
        <v>31</v>
      </c>
      <c r="I3" s="1" t="s">
        <v>32</v>
      </c>
      <c r="J3" s="1">
        <v>3390</v>
      </c>
      <c r="K3" s="1" t="s">
        <v>25</v>
      </c>
      <c r="L3" s="1">
        <v>56</v>
      </c>
      <c r="M3" s="1">
        <v>47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f t="shared" ref="W3:W29" si="0">SUM(L3:V3)</f>
        <v>103</v>
      </c>
    </row>
    <row r="4" spans="1:23" ht="50">
      <c r="A4" s="1" t="s">
        <v>33</v>
      </c>
      <c r="B4" s="1" t="s">
        <v>152</v>
      </c>
      <c r="C4" s="1" t="s">
        <v>99</v>
      </c>
      <c r="D4" s="1" t="s">
        <v>34</v>
      </c>
      <c r="E4" s="13" t="s">
        <v>122</v>
      </c>
      <c r="F4" s="1" t="s">
        <v>35</v>
      </c>
      <c r="G4" s="1" t="s">
        <v>30</v>
      </c>
      <c r="H4" s="1" t="s">
        <v>31</v>
      </c>
      <c r="I4" s="1" t="s">
        <v>36</v>
      </c>
      <c r="J4" s="1">
        <v>3390</v>
      </c>
      <c r="K4" s="1" t="s">
        <v>25</v>
      </c>
      <c r="L4" s="1">
        <v>250</v>
      </c>
      <c r="M4" s="1">
        <v>250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f t="shared" si="0"/>
        <v>500</v>
      </c>
    </row>
    <row r="5" spans="1:23" ht="88" thickBot="1">
      <c r="A5" s="1" t="s">
        <v>117</v>
      </c>
      <c r="B5" s="1" t="s">
        <v>152</v>
      </c>
      <c r="C5" s="1" t="s">
        <v>104</v>
      </c>
      <c r="D5" s="1" t="s">
        <v>37</v>
      </c>
      <c r="E5" s="10" t="s">
        <v>123</v>
      </c>
      <c r="F5" s="1"/>
      <c r="G5" s="1" t="s">
        <v>30</v>
      </c>
      <c r="H5" s="1" t="s">
        <v>31</v>
      </c>
      <c r="I5" s="2">
        <v>32480</v>
      </c>
      <c r="J5" s="1">
        <v>3390</v>
      </c>
      <c r="K5" s="1" t="s">
        <v>25</v>
      </c>
      <c r="L5" s="1">
        <v>1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f t="shared" si="0"/>
        <v>1</v>
      </c>
    </row>
    <row r="6" spans="1:23" ht="25.5" thickBot="1">
      <c r="A6" s="5" t="s">
        <v>118</v>
      </c>
      <c r="B6" s="5" t="s">
        <v>152</v>
      </c>
      <c r="C6" s="1" t="s">
        <v>100</v>
      </c>
      <c r="D6" s="1" t="s">
        <v>38</v>
      </c>
      <c r="E6" s="14" t="s">
        <v>124</v>
      </c>
      <c r="F6" s="1" t="s">
        <v>39</v>
      </c>
      <c r="G6" s="1" t="s">
        <v>40</v>
      </c>
      <c r="H6" s="1" t="s">
        <v>41</v>
      </c>
      <c r="I6" s="1" t="s">
        <v>42</v>
      </c>
      <c r="J6" s="1">
        <v>3390</v>
      </c>
      <c r="K6" s="1" t="s">
        <v>25</v>
      </c>
      <c r="L6" s="1">
        <v>1500</v>
      </c>
      <c r="M6" s="1">
        <v>1500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f t="shared" si="0"/>
        <v>3000</v>
      </c>
    </row>
    <row r="7" spans="1:23" ht="25.5" thickBot="1">
      <c r="A7" s="5" t="s">
        <v>119</v>
      </c>
      <c r="B7" s="5" t="s">
        <v>152</v>
      </c>
      <c r="C7" s="1" t="s">
        <v>100</v>
      </c>
      <c r="D7" s="1" t="s">
        <v>43</v>
      </c>
      <c r="E7" s="14" t="s">
        <v>125</v>
      </c>
      <c r="F7" s="1" t="s">
        <v>39</v>
      </c>
      <c r="G7" s="1" t="s">
        <v>40</v>
      </c>
      <c r="H7" s="1" t="s">
        <v>41</v>
      </c>
      <c r="I7" s="1" t="s">
        <v>42</v>
      </c>
      <c r="J7" s="1">
        <v>3390</v>
      </c>
      <c r="K7" s="1" t="s">
        <v>25</v>
      </c>
      <c r="L7" s="1">
        <v>1500</v>
      </c>
      <c r="M7" s="1">
        <v>1500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f t="shared" si="0"/>
        <v>3000</v>
      </c>
    </row>
    <row r="8" spans="1:23" ht="50">
      <c r="A8" s="1" t="s">
        <v>44</v>
      </c>
      <c r="B8" s="1" t="s">
        <v>152</v>
      </c>
      <c r="C8" s="1" t="s">
        <v>101</v>
      </c>
      <c r="D8" s="1" t="s">
        <v>45</v>
      </c>
      <c r="E8" s="10" t="s">
        <v>46</v>
      </c>
      <c r="F8" s="1" t="s">
        <v>115</v>
      </c>
      <c r="G8" s="1" t="s">
        <v>133</v>
      </c>
      <c r="H8" s="1" t="s">
        <v>47</v>
      </c>
      <c r="I8" s="1" t="s">
        <v>48</v>
      </c>
      <c r="J8" s="1">
        <v>3390</v>
      </c>
      <c r="K8" s="1" t="s">
        <v>25</v>
      </c>
      <c r="L8" s="1">
        <v>5</v>
      </c>
      <c r="M8" s="1">
        <v>2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f t="shared" si="0"/>
        <v>7</v>
      </c>
    </row>
    <row r="9" spans="1:23" ht="25">
      <c r="A9" s="8" t="s">
        <v>120</v>
      </c>
      <c r="B9" s="8" t="s">
        <v>152</v>
      </c>
      <c r="C9" s="1" t="s">
        <v>101</v>
      </c>
      <c r="D9" s="1" t="s">
        <v>49</v>
      </c>
      <c r="E9" s="10" t="s">
        <v>50</v>
      </c>
      <c r="F9" s="1" t="s">
        <v>116</v>
      </c>
      <c r="G9" s="1" t="s">
        <v>30</v>
      </c>
      <c r="H9" s="1" t="s">
        <v>51</v>
      </c>
      <c r="I9" s="1" t="s">
        <v>52</v>
      </c>
      <c r="J9" s="1">
        <v>3390</v>
      </c>
      <c r="K9" s="1" t="s">
        <v>25</v>
      </c>
      <c r="L9" s="1">
        <v>84</v>
      </c>
      <c r="M9" s="1">
        <v>10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f t="shared" si="0"/>
        <v>94</v>
      </c>
    </row>
    <row r="10" spans="1:23" ht="25">
      <c r="A10" s="8" t="s">
        <v>120</v>
      </c>
      <c r="B10" s="8" t="s">
        <v>152</v>
      </c>
      <c r="C10" s="1" t="s">
        <v>101</v>
      </c>
      <c r="D10" s="1" t="s">
        <v>53</v>
      </c>
      <c r="E10" s="10" t="s">
        <v>54</v>
      </c>
      <c r="F10" s="1" t="s">
        <v>116</v>
      </c>
      <c r="G10" s="1" t="s">
        <v>30</v>
      </c>
      <c r="H10" s="1" t="s">
        <v>51</v>
      </c>
      <c r="I10" s="1" t="s">
        <v>48</v>
      </c>
      <c r="J10" s="1">
        <v>3390</v>
      </c>
      <c r="K10" s="1" t="s">
        <v>25</v>
      </c>
      <c r="L10" s="1">
        <v>35</v>
      </c>
      <c r="M10" s="1">
        <v>35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f t="shared" si="0"/>
        <v>70</v>
      </c>
    </row>
    <row r="11" spans="1:23">
      <c r="A11" s="5">
        <v>46129</v>
      </c>
      <c r="B11" s="5" t="s">
        <v>152</v>
      </c>
      <c r="C11" s="1" t="s">
        <v>100</v>
      </c>
      <c r="D11" s="1" t="s">
        <v>55</v>
      </c>
      <c r="E11" s="10" t="s">
        <v>56</v>
      </c>
      <c r="F11" s="1"/>
      <c r="G11" s="1" t="s">
        <v>57</v>
      </c>
      <c r="H11" s="1" t="s">
        <v>51</v>
      </c>
      <c r="I11" s="1" t="s">
        <v>58</v>
      </c>
      <c r="J11" s="1">
        <v>3390</v>
      </c>
      <c r="K11" s="1" t="s">
        <v>25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>
        <f t="shared" si="0"/>
        <v>0</v>
      </c>
    </row>
    <row r="12" spans="1:23" ht="93.5" customHeight="1">
      <c r="A12" s="8" t="s">
        <v>135</v>
      </c>
      <c r="B12" s="8" t="s">
        <v>152</v>
      </c>
      <c r="C12" s="1" t="s">
        <v>102</v>
      </c>
      <c r="D12" s="1" t="s">
        <v>59</v>
      </c>
      <c r="E12" s="10" t="s">
        <v>79</v>
      </c>
      <c r="F12" s="1"/>
      <c r="G12" s="1" t="s">
        <v>132</v>
      </c>
      <c r="H12" s="1" t="s">
        <v>60</v>
      </c>
      <c r="I12" s="1" t="s">
        <v>61</v>
      </c>
      <c r="J12" s="1">
        <v>3390</v>
      </c>
      <c r="K12" s="1" t="s">
        <v>25</v>
      </c>
      <c r="L12" s="1">
        <v>6</v>
      </c>
      <c r="M12" s="1">
        <v>5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f t="shared" si="0"/>
        <v>11</v>
      </c>
    </row>
    <row r="13" spans="1:23" ht="25">
      <c r="A13" s="1" t="s">
        <v>77</v>
      </c>
      <c r="B13" s="1" t="s">
        <v>152</v>
      </c>
      <c r="C13" s="1" t="s">
        <v>103</v>
      </c>
      <c r="D13" s="1" t="s">
        <v>62</v>
      </c>
      <c r="E13" s="10" t="s">
        <v>74</v>
      </c>
      <c r="F13" s="1" t="s">
        <v>130</v>
      </c>
      <c r="G13" s="1" t="s">
        <v>63</v>
      </c>
      <c r="H13" s="1" t="s">
        <v>31</v>
      </c>
      <c r="I13" s="1" t="s">
        <v>64</v>
      </c>
      <c r="J13" s="1">
        <v>3390</v>
      </c>
      <c r="K13" s="1" t="s">
        <v>25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1067</v>
      </c>
      <c r="U13" s="1">
        <v>1068</v>
      </c>
      <c r="V13" s="1">
        <v>0</v>
      </c>
      <c r="W13" s="1">
        <f t="shared" si="0"/>
        <v>2135</v>
      </c>
    </row>
    <row r="14" spans="1:23" ht="37.5">
      <c r="A14" s="1" t="s">
        <v>65</v>
      </c>
      <c r="B14" s="1" t="s">
        <v>152</v>
      </c>
      <c r="C14" s="1" t="s">
        <v>107</v>
      </c>
      <c r="D14" s="1" t="s">
        <v>66</v>
      </c>
      <c r="E14" s="13" t="s">
        <v>126</v>
      </c>
      <c r="F14" s="1"/>
      <c r="G14" s="1" t="s">
        <v>30</v>
      </c>
      <c r="H14" s="1" t="s">
        <v>31</v>
      </c>
      <c r="I14" s="1" t="s">
        <v>67</v>
      </c>
      <c r="J14" s="1">
        <v>3390</v>
      </c>
      <c r="K14" s="1" t="s">
        <v>25</v>
      </c>
      <c r="L14" s="1">
        <v>544</v>
      </c>
      <c r="M14" s="1">
        <v>545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f t="shared" si="0"/>
        <v>1089</v>
      </c>
    </row>
    <row r="15" spans="1:23" ht="25">
      <c r="A15" s="8" t="s">
        <v>136</v>
      </c>
      <c r="B15" s="8" t="s">
        <v>152</v>
      </c>
      <c r="C15" s="1" t="s">
        <v>105</v>
      </c>
      <c r="D15" s="1" t="s">
        <v>94</v>
      </c>
      <c r="E15" s="11" t="s">
        <v>28</v>
      </c>
      <c r="F15" s="7"/>
      <c r="G15" s="7" t="s">
        <v>131</v>
      </c>
      <c r="H15" s="1" t="s">
        <v>68</v>
      </c>
      <c r="I15" s="16">
        <v>5602684</v>
      </c>
      <c r="J15" s="1">
        <v>4440</v>
      </c>
      <c r="K15" s="1" t="s">
        <v>25</v>
      </c>
      <c r="L15" s="1">
        <v>14</v>
      </c>
      <c r="M15" s="1">
        <v>16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1">
        <f t="shared" si="0"/>
        <v>30</v>
      </c>
    </row>
    <row r="16" spans="1:23" ht="25">
      <c r="A16" s="8" t="s">
        <v>136</v>
      </c>
      <c r="B16" s="8" t="s">
        <v>152</v>
      </c>
      <c r="C16" s="1" t="s">
        <v>106</v>
      </c>
      <c r="D16" s="1" t="s">
        <v>94</v>
      </c>
      <c r="E16" s="11" t="s">
        <v>28</v>
      </c>
      <c r="F16" s="7"/>
      <c r="G16" s="7" t="s">
        <v>131</v>
      </c>
      <c r="H16" s="7" t="s">
        <v>95</v>
      </c>
      <c r="I16" s="17">
        <v>397316</v>
      </c>
      <c r="J16" s="1">
        <v>4440</v>
      </c>
      <c r="K16" s="1" t="s">
        <v>25</v>
      </c>
      <c r="L16" s="1">
        <v>5</v>
      </c>
      <c r="M16" s="1">
        <v>8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1">
        <f t="shared" si="0"/>
        <v>13</v>
      </c>
    </row>
    <row r="17" spans="1:23" ht="87.5">
      <c r="A17" s="8" t="s">
        <v>137</v>
      </c>
      <c r="B17" s="8" t="s">
        <v>152</v>
      </c>
      <c r="C17" s="1" t="s">
        <v>108</v>
      </c>
      <c r="D17" s="1" t="s">
        <v>69</v>
      </c>
      <c r="E17" s="11" t="s">
        <v>127</v>
      </c>
      <c r="F17" s="7"/>
      <c r="G17" s="7" t="s">
        <v>30</v>
      </c>
      <c r="H17" s="1" t="s">
        <v>68</v>
      </c>
      <c r="I17" s="17">
        <v>111360</v>
      </c>
      <c r="J17" s="1">
        <v>3390</v>
      </c>
      <c r="K17" s="1" t="s">
        <v>25</v>
      </c>
      <c r="L17" s="1">
        <v>5</v>
      </c>
      <c r="M17" s="1">
        <v>1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1">
        <f t="shared" si="0"/>
        <v>6</v>
      </c>
    </row>
    <row r="18" spans="1:23" ht="24.5" customHeight="1">
      <c r="A18" s="8" t="s">
        <v>138</v>
      </c>
      <c r="B18" s="8" t="s">
        <v>152</v>
      </c>
      <c r="C18" s="7" t="s">
        <v>109</v>
      </c>
      <c r="D18" s="1" t="s">
        <v>70</v>
      </c>
      <c r="E18" s="11" t="s">
        <v>114</v>
      </c>
      <c r="F18" s="7"/>
      <c r="G18" s="7" t="s">
        <v>30</v>
      </c>
      <c r="H18" s="1" t="s">
        <v>71</v>
      </c>
      <c r="I18" s="17">
        <v>100000</v>
      </c>
      <c r="J18" s="1">
        <v>4440</v>
      </c>
      <c r="K18" s="6" t="s">
        <v>25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1"/>
    </row>
    <row r="19" spans="1:23" ht="25">
      <c r="A19" s="1" t="s">
        <v>72</v>
      </c>
      <c r="B19" s="1" t="s">
        <v>152</v>
      </c>
      <c r="C19" s="7" t="s">
        <v>110</v>
      </c>
      <c r="D19" s="1" t="s">
        <v>59</v>
      </c>
      <c r="E19" s="10" t="s">
        <v>74</v>
      </c>
      <c r="F19" s="7" t="s">
        <v>129</v>
      </c>
      <c r="G19" s="7"/>
      <c r="H19" s="1" t="s">
        <v>60</v>
      </c>
      <c r="I19" s="17">
        <v>69600</v>
      </c>
      <c r="J19" s="1">
        <v>3390</v>
      </c>
      <c r="K19" s="6" t="s">
        <v>25</v>
      </c>
      <c r="L19" s="7">
        <v>19</v>
      </c>
      <c r="M19" s="6">
        <v>24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1">
        <f t="shared" si="0"/>
        <v>43</v>
      </c>
    </row>
    <row r="20" spans="1:23" ht="25">
      <c r="A20" s="1" t="s">
        <v>139</v>
      </c>
      <c r="B20" s="1" t="s">
        <v>152</v>
      </c>
      <c r="C20" s="7" t="s">
        <v>101</v>
      </c>
      <c r="D20" s="1" t="s">
        <v>73</v>
      </c>
      <c r="E20" s="10" t="s">
        <v>75</v>
      </c>
      <c r="F20" s="7"/>
      <c r="G20" s="7" t="s">
        <v>22</v>
      </c>
      <c r="H20" s="1" t="s">
        <v>60</v>
      </c>
      <c r="I20" s="2" t="s">
        <v>76</v>
      </c>
      <c r="J20" s="7">
        <v>3390</v>
      </c>
      <c r="K20" s="1" t="s">
        <v>25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1">
        <f t="shared" si="0"/>
        <v>0</v>
      </c>
    </row>
    <row r="21" spans="1:23" ht="25">
      <c r="A21" s="1" t="s">
        <v>77</v>
      </c>
      <c r="B21" s="1" t="s">
        <v>152</v>
      </c>
      <c r="C21" s="7" t="s">
        <v>111</v>
      </c>
      <c r="D21" s="1" t="s">
        <v>78</v>
      </c>
      <c r="E21" s="10" t="s">
        <v>79</v>
      </c>
      <c r="F21" s="7"/>
      <c r="G21" s="7" t="s">
        <v>63</v>
      </c>
      <c r="H21" s="1" t="s">
        <v>23</v>
      </c>
      <c r="I21" s="2">
        <v>263534.59999999998</v>
      </c>
      <c r="J21" s="7">
        <v>3390</v>
      </c>
      <c r="K21" s="1" t="s">
        <v>25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51</v>
      </c>
      <c r="U21" s="7">
        <v>50</v>
      </c>
      <c r="V21" s="7">
        <v>0</v>
      </c>
      <c r="W21" s="1">
        <f t="shared" si="0"/>
        <v>101</v>
      </c>
    </row>
    <row r="22" spans="1:23" ht="62.5">
      <c r="A22" s="1" t="s">
        <v>80</v>
      </c>
      <c r="B22" s="1" t="s">
        <v>153</v>
      </c>
      <c r="C22" s="7" t="s">
        <v>112</v>
      </c>
      <c r="D22" s="1" t="s">
        <v>81</v>
      </c>
      <c r="E22" s="10" t="s">
        <v>128</v>
      </c>
      <c r="F22" s="7" t="s">
        <v>129</v>
      </c>
      <c r="G22" s="7"/>
      <c r="H22" s="1" t="s">
        <v>82</v>
      </c>
      <c r="I22" s="17">
        <v>139200</v>
      </c>
      <c r="J22" s="7">
        <v>3390</v>
      </c>
      <c r="K22" s="1" t="s">
        <v>25</v>
      </c>
      <c r="L22" s="7">
        <v>10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1">
        <f t="shared" si="0"/>
        <v>10</v>
      </c>
    </row>
    <row r="23" spans="1:23" ht="37.5">
      <c r="A23" s="1" t="s">
        <v>83</v>
      </c>
      <c r="B23" s="1" t="s">
        <v>152</v>
      </c>
      <c r="C23" s="7" t="s">
        <v>113</v>
      </c>
      <c r="D23" s="1" t="s">
        <v>84</v>
      </c>
      <c r="E23" s="10" t="s">
        <v>85</v>
      </c>
      <c r="F23" s="7"/>
      <c r="G23" s="7" t="s">
        <v>30</v>
      </c>
      <c r="H23" s="7" t="s">
        <v>71</v>
      </c>
      <c r="I23" s="2">
        <v>32500</v>
      </c>
      <c r="J23" s="7">
        <v>4440</v>
      </c>
      <c r="K23" s="1" t="s">
        <v>25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1">
        <f t="shared" si="0"/>
        <v>0</v>
      </c>
    </row>
    <row r="24" spans="1:23" ht="25">
      <c r="A24" s="1" t="s">
        <v>86</v>
      </c>
      <c r="B24" s="1" t="s">
        <v>152</v>
      </c>
      <c r="C24" s="7" t="s">
        <v>113</v>
      </c>
      <c r="D24" s="1" t="s">
        <v>87</v>
      </c>
      <c r="E24" s="10" t="s">
        <v>88</v>
      </c>
      <c r="F24" s="7"/>
      <c r="G24" s="7" t="s">
        <v>30</v>
      </c>
      <c r="H24" s="7" t="s">
        <v>71</v>
      </c>
      <c r="I24" s="2">
        <v>85000</v>
      </c>
      <c r="J24" s="7">
        <v>4440</v>
      </c>
      <c r="K24" s="1" t="s">
        <v>25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1">
        <f t="shared" si="0"/>
        <v>0</v>
      </c>
    </row>
    <row r="25" spans="1:23" ht="25">
      <c r="A25" s="1" t="s">
        <v>89</v>
      </c>
      <c r="B25" s="1" t="s">
        <v>152</v>
      </c>
      <c r="C25" s="7" t="s">
        <v>113</v>
      </c>
      <c r="D25" s="1" t="s">
        <v>87</v>
      </c>
      <c r="E25" s="10" t="s">
        <v>90</v>
      </c>
      <c r="F25" s="7"/>
      <c r="G25" s="7" t="s">
        <v>30</v>
      </c>
      <c r="H25" s="7" t="s">
        <v>71</v>
      </c>
      <c r="I25" s="2">
        <v>15000</v>
      </c>
      <c r="J25" s="7">
        <v>4440</v>
      </c>
      <c r="K25" s="1" t="s">
        <v>25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1">
        <f t="shared" si="0"/>
        <v>0</v>
      </c>
    </row>
    <row r="26" spans="1:23" ht="75">
      <c r="A26" s="1" t="s">
        <v>91</v>
      </c>
      <c r="B26" s="1" t="s">
        <v>152</v>
      </c>
      <c r="C26" s="7" t="s">
        <v>113</v>
      </c>
      <c r="D26" s="1" t="s">
        <v>92</v>
      </c>
      <c r="E26" s="10" t="s">
        <v>96</v>
      </c>
      <c r="F26" s="7"/>
      <c r="G26" s="7" t="s">
        <v>30</v>
      </c>
      <c r="H26" s="1" t="s">
        <v>93</v>
      </c>
      <c r="I26" s="17">
        <v>6336</v>
      </c>
      <c r="J26" s="7">
        <v>4440</v>
      </c>
      <c r="K26" s="1" t="s">
        <v>25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1">
        <f t="shared" si="0"/>
        <v>0</v>
      </c>
    </row>
    <row r="27" spans="1:23" ht="25">
      <c r="A27" s="1" t="s">
        <v>140</v>
      </c>
      <c r="B27" s="1" t="s">
        <v>152</v>
      </c>
      <c r="C27" s="1" t="s">
        <v>113</v>
      </c>
      <c r="D27" s="1" t="s">
        <v>141</v>
      </c>
      <c r="E27" s="13" t="s">
        <v>126</v>
      </c>
      <c r="F27" s="1"/>
      <c r="G27" s="1" t="s">
        <v>30</v>
      </c>
      <c r="H27" s="1" t="s">
        <v>31</v>
      </c>
      <c r="I27" s="2">
        <v>44450</v>
      </c>
      <c r="J27" s="1">
        <v>3390</v>
      </c>
      <c r="K27" s="1" t="s">
        <v>25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>
        <f t="shared" si="0"/>
        <v>0</v>
      </c>
    </row>
    <row r="28" spans="1:23">
      <c r="A28" s="1" t="s">
        <v>142</v>
      </c>
      <c r="B28" s="1" t="s">
        <v>154</v>
      </c>
      <c r="C28" s="1" t="s">
        <v>143</v>
      </c>
      <c r="D28" s="1" t="s">
        <v>144</v>
      </c>
      <c r="E28" s="1" t="s">
        <v>145</v>
      </c>
      <c r="F28" s="1"/>
      <c r="G28" s="1" t="s">
        <v>30</v>
      </c>
      <c r="H28" s="1" t="s">
        <v>82</v>
      </c>
      <c r="I28" s="2">
        <v>834800</v>
      </c>
      <c r="J28" s="1">
        <v>4440</v>
      </c>
      <c r="K28" s="1" t="s">
        <v>25</v>
      </c>
      <c r="L28" s="1">
        <v>10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1">
        <f t="shared" si="0"/>
        <v>10</v>
      </c>
    </row>
    <row r="29" spans="1:23" ht="37.5">
      <c r="A29" s="1" t="s">
        <v>147</v>
      </c>
      <c r="B29" s="1" t="s">
        <v>153</v>
      </c>
      <c r="C29" s="1" t="s">
        <v>148</v>
      </c>
      <c r="D29" s="1" t="s">
        <v>146</v>
      </c>
      <c r="E29" s="1" t="s">
        <v>126</v>
      </c>
      <c r="F29" s="1"/>
      <c r="G29" s="1" t="s">
        <v>30</v>
      </c>
      <c r="H29" s="1" t="s">
        <v>31</v>
      </c>
      <c r="I29" s="1">
        <v>26171</v>
      </c>
      <c r="J29" s="1">
        <v>3390</v>
      </c>
      <c r="K29" s="1" t="s">
        <v>25</v>
      </c>
      <c r="W29" s="1">
        <f t="shared" si="0"/>
        <v>0</v>
      </c>
    </row>
  </sheetData>
  <dataValidations count="2">
    <dataValidation type="list" allowBlank="1" showErrorMessage="1" sqref="H2:H15 H17 H27 H29">
      <formula1>"QC4139.2601,QC4140.2601,QC4140.2602,QC4140.2603,QC4142.2601,QC4142.2602,QC4142.2603,QC4102.2601,QC4102.2602"</formula1>
    </dataValidation>
    <dataValidation type="list" allowBlank="1" showErrorMessage="1" sqref="K2:K16 K27">
      <formula1>"DGPA,DGEP,FORUM,DGMAVE,SDPAC"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iec940202@hotmail.com</dc:creator>
  <cp:lastModifiedBy>iec940202@hotmail.com</cp:lastModifiedBy>
  <dcterms:created xsi:type="dcterms:W3CDTF">2026-10-26T23:32:46Z</dcterms:created>
  <dcterms:modified xsi:type="dcterms:W3CDTF">2026-10-27T21:06:30Z</dcterms:modified>
</cp:coreProperties>
</file>