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ec94\OneDrive\Escritorio\SUB DPAC\PLANEACIÓN\SISTEMA DE INTELIGENCIA CULTURAL\"/>
    </mc:Choice>
  </mc:AlternateContent>
  <bookViews>
    <workbookView xWindow="0" yWindow="0" windowWidth="19200" windowHeight="72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7" i="1" l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<sst xmlns="http://schemas.openxmlformats.org/spreadsheetml/2006/main" count="173" uniqueCount="109">
  <si>
    <t>Fecha</t>
  </si>
  <si>
    <t>Horario</t>
  </si>
  <si>
    <t>Cantidad</t>
  </si>
  <si>
    <t>Evento</t>
  </si>
  <si>
    <t>Artista</t>
  </si>
  <si>
    <t>No. de artistas participantes</t>
  </si>
  <si>
    <t>Sede</t>
  </si>
  <si>
    <t>Ciudad</t>
  </si>
  <si>
    <t>Zona de atención prioritaria</t>
  </si>
  <si>
    <t>Programa</t>
  </si>
  <si>
    <t>Presupuesto</t>
  </si>
  <si>
    <t>Partida presupuestal</t>
  </si>
  <si>
    <t>Dirección responsable</t>
  </si>
  <si>
    <t>Mujeres</t>
  </si>
  <si>
    <t>Hombre</t>
  </si>
  <si>
    <t>Mujeres con discapacidad</t>
  </si>
  <si>
    <t>Hombre con discapacidad</t>
  </si>
  <si>
    <t>Adultos mayores mujeres</t>
  </si>
  <si>
    <t>Adultos mayores hombres</t>
  </si>
  <si>
    <t>Jovenes mujeres</t>
  </si>
  <si>
    <t>Jovenes hombres</t>
  </si>
  <si>
    <t>Niñas y adolescentes</t>
  </si>
  <si>
    <t>Niños y adolescentes</t>
  </si>
  <si>
    <t>Capacidades diferentes</t>
  </si>
  <si>
    <t>TOTAL</t>
  </si>
  <si>
    <t>Erase una vez RAP</t>
  </si>
  <si>
    <t>Cuauhtemoc Gustavo Vazquez García</t>
  </si>
  <si>
    <t>Poliforum</t>
  </si>
  <si>
    <t>León</t>
  </si>
  <si>
    <t>QC4139.2601</t>
  </si>
  <si>
    <t>$ 81,200.00</t>
  </si>
  <si>
    <t>SDPAC</t>
  </si>
  <si>
    <t>26/03/ 2026 - 29/03/2026</t>
  </si>
  <si>
    <t>20:00 horas</t>
  </si>
  <si>
    <t>Festival Ex Nihilo</t>
  </si>
  <si>
    <t>Varios</t>
  </si>
  <si>
    <t>Teatro Juárez</t>
  </si>
  <si>
    <t>Guanajuato</t>
  </si>
  <si>
    <t>QC4140.2601</t>
  </si>
  <si>
    <t>$ 100,000.00</t>
  </si>
  <si>
    <t>10/04/ 2026 - 12/04/2026</t>
  </si>
  <si>
    <t>12:00 - 23:00 horas</t>
  </si>
  <si>
    <t>Festival Medieval</t>
  </si>
  <si>
    <t>Alhóndiga de Granaditas</t>
  </si>
  <si>
    <t>$ 35,000.00</t>
  </si>
  <si>
    <t>MAYO</t>
  </si>
  <si>
    <t>Jurados Escenautas</t>
  </si>
  <si>
    <t>Trío Guanaxteco</t>
  </si>
  <si>
    <t>Centro Histórico</t>
  </si>
  <si>
    <t>Irapuato</t>
  </si>
  <si>
    <t>QC4140.2602</t>
  </si>
  <si>
    <t>$ 50,000.00</t>
  </si>
  <si>
    <t>Flor de Autonomía</t>
  </si>
  <si>
    <t>13/07/ 2026 - 16/07/2026</t>
  </si>
  <si>
    <t>Taller de novela</t>
  </si>
  <si>
    <t>J. de Jesús Hernández Ibarra</t>
  </si>
  <si>
    <t>QC4142.2601</t>
  </si>
  <si>
    <t>$ 23,200.00</t>
  </si>
  <si>
    <t>WAPA - Taller “Maquillaje escénico para la danza”</t>
  </si>
  <si>
    <t>David García Magaña</t>
  </si>
  <si>
    <t>QC4142.2603</t>
  </si>
  <si>
    <t>$ 11,600.00</t>
  </si>
  <si>
    <t>WAPA - Taller de coplas y décimas del huapango</t>
  </si>
  <si>
    <t>Neftalí Díaz</t>
  </si>
  <si>
    <t>Concierto San Felipe</t>
  </si>
  <si>
    <t>Luis Herman Miranda</t>
  </si>
  <si>
    <t>San Felipe</t>
  </si>
  <si>
    <t>$ 17,980.00</t>
  </si>
  <si>
    <t>Talleres FECA</t>
  </si>
  <si>
    <t>QC4102.2601</t>
  </si>
  <si>
    <t>$ 75,000.00</t>
  </si>
  <si>
    <t>JULIO</t>
  </si>
  <si>
    <t>Festival Escenautas</t>
  </si>
  <si>
    <t>Purísima del Rincón</t>
  </si>
  <si>
    <t>$ 1,129,527.77</t>
  </si>
  <si>
    <t>21/08/2026 - 27/08/2026</t>
  </si>
  <si>
    <t>Logística para asistencia al Festival de Teatro Nuevo León</t>
  </si>
  <si>
    <t>$ 59,118.11</t>
  </si>
  <si>
    <t>QC4102.2602</t>
  </si>
  <si>
    <t>Jurados FECA</t>
  </si>
  <si>
    <t>Beneficiaria Escenautas</t>
  </si>
  <si>
    <t>GA2477.2600</t>
  </si>
  <si>
    <t>29/06/2026 - 03/07/2026</t>
  </si>
  <si>
    <t>Taller FECA</t>
  </si>
  <si>
    <t>TRAZA PRODUCCIONES, S.C.</t>
  </si>
  <si>
    <t>13/07/2026 - 14/07/2026</t>
  </si>
  <si>
    <t>Laura Elena Fernández Dávalos</t>
  </si>
  <si>
    <t>$30.276,00</t>
  </si>
  <si>
    <t>20/07/ 2026 - 26/07/2026</t>
  </si>
  <si>
    <t>Talleres primeras infancias</t>
  </si>
  <si>
    <t>Katia Isabel Jiménez Alcalá</t>
  </si>
  <si>
    <t>2do Festival Escenautas</t>
  </si>
  <si>
    <t>30/09/2026-31/12/2026</t>
  </si>
  <si>
    <t>Talleres de cartografías</t>
  </si>
  <si>
    <t>QC4051.2603</t>
  </si>
  <si>
    <t>17/07/2026 - 31/12/2026</t>
  </si>
  <si>
    <t>Estímulo publicación obra editorial Desde el faro (250 ejemplares)</t>
  </si>
  <si>
    <t>EQUISGENTE, S.C.</t>
  </si>
  <si>
    <t>10/08/2026 - 31/12/2026</t>
  </si>
  <si>
    <t>Estímulo presentación artística</t>
  </si>
  <si>
    <t>Juan Manuel García Belmonte</t>
  </si>
  <si>
    <t>17/08/2026 - 31/12/2026</t>
  </si>
  <si>
    <t>Humberto García Lázaro</t>
  </si>
  <si>
    <t>22/10/2026 - 31/12/2026</t>
  </si>
  <si>
    <t>Apoyo para participación del colectivo de teatro comunitario Soy Del Puño en la Semana XVIII de Teatro “Ray Garduñoˮ en Baja California.</t>
  </si>
  <si>
    <t>PB3571.2600</t>
  </si>
  <si>
    <t>Beneficiarios FECA</t>
  </si>
  <si>
    <t>QC4102.2603</t>
  </si>
  <si>
    <t xml:space="preserve">Luis Felipe Cabrera Puente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</si>
</sst>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Roboto"/>
    </font>
    <font>
      <b/>
      <sz val="10"/>
      <color rgb="FFFFFFFF"/>
      <name val="Roboto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44" fontId="2" fillId="0" borderId="0" xfId="1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20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8" fontId="2" fillId="0" borderId="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4" fontId="4" fillId="0" borderId="0" xfId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zoomScale="59" workbookViewId="0">
      <selection activeCell="E27" sqref="E27"/>
    </sheetView>
  </sheetViews>
  <sheetFormatPr baseColWidth="10" defaultRowHeight="14.5"/>
  <cols>
    <col min="1" max="1" width="20.81640625" style="1" bestFit="1" customWidth="1"/>
    <col min="2" max="4" width="10.90625" style="1"/>
    <col min="5" max="5" width="23.81640625" style="1" customWidth="1"/>
    <col min="6" max="6" width="12.81640625" style="1" customWidth="1"/>
    <col min="7" max="9" width="10.90625" style="1"/>
    <col min="10" max="10" width="12" style="1" bestFit="1" customWidth="1"/>
    <col min="11" max="11" width="13.54296875" style="1" bestFit="1" customWidth="1"/>
    <col min="12" max="16384" width="10.90625" style="1"/>
  </cols>
  <sheetData>
    <row r="1" spans="1:25" ht="5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spans="1:25" ht="50">
      <c r="A2" s="6">
        <v>46151</v>
      </c>
      <c r="B2" s="7">
        <v>0.79166666666666663</v>
      </c>
      <c r="C2" s="2">
        <v>1</v>
      </c>
      <c r="D2" s="2" t="s">
        <v>25</v>
      </c>
      <c r="E2" s="2" t="s">
        <v>26</v>
      </c>
      <c r="F2" s="2"/>
      <c r="G2" s="2" t="s">
        <v>27</v>
      </c>
      <c r="H2" s="2" t="s">
        <v>28</v>
      </c>
      <c r="I2" s="2"/>
      <c r="J2" s="2" t="s">
        <v>29</v>
      </c>
      <c r="K2" s="2" t="s">
        <v>30</v>
      </c>
      <c r="L2" s="2">
        <v>3390</v>
      </c>
      <c r="M2" s="2" t="s">
        <v>31</v>
      </c>
      <c r="N2" s="2">
        <v>63</v>
      </c>
      <c r="O2" s="2">
        <v>76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18</v>
      </c>
      <c r="W2" s="2">
        <v>23</v>
      </c>
      <c r="X2" s="2">
        <v>0</v>
      </c>
      <c r="Y2" s="2">
        <f>SUM(N2:X2)</f>
        <v>180</v>
      </c>
    </row>
    <row r="3" spans="1:25" ht="25">
      <c r="A3" s="6" t="s">
        <v>32</v>
      </c>
      <c r="B3" s="2" t="s">
        <v>33</v>
      </c>
      <c r="C3" s="2">
        <v>8</v>
      </c>
      <c r="D3" s="2" t="s">
        <v>34</v>
      </c>
      <c r="E3" s="2" t="s">
        <v>35</v>
      </c>
      <c r="F3" s="2"/>
      <c r="G3" s="2" t="s">
        <v>36</v>
      </c>
      <c r="H3" s="2" t="s">
        <v>37</v>
      </c>
      <c r="I3" s="2"/>
      <c r="J3" s="2" t="s">
        <v>38</v>
      </c>
      <c r="K3" s="2" t="s">
        <v>39</v>
      </c>
      <c r="L3" s="2">
        <v>3390</v>
      </c>
      <c r="M3" s="2" t="s">
        <v>31</v>
      </c>
      <c r="N3" s="2">
        <v>56</v>
      </c>
      <c r="O3" s="2">
        <v>47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f t="shared" ref="Y3:Y27" si="0">SUM(N3:X3)</f>
        <v>103</v>
      </c>
    </row>
    <row r="4" spans="1:25" ht="37.5">
      <c r="A4" s="2" t="s">
        <v>40</v>
      </c>
      <c r="B4" s="2" t="s">
        <v>41</v>
      </c>
      <c r="C4" s="2">
        <v>1</v>
      </c>
      <c r="D4" s="2" t="s">
        <v>42</v>
      </c>
      <c r="E4" s="2" t="s">
        <v>35</v>
      </c>
      <c r="F4" s="2"/>
      <c r="G4" s="2" t="s">
        <v>43</v>
      </c>
      <c r="H4" s="2" t="s">
        <v>37</v>
      </c>
      <c r="I4" s="2"/>
      <c r="J4" s="2" t="s">
        <v>38</v>
      </c>
      <c r="K4" s="2" t="s">
        <v>44</v>
      </c>
      <c r="L4" s="2">
        <v>3390</v>
      </c>
      <c r="M4" s="2" t="s">
        <v>31</v>
      </c>
      <c r="N4" s="2">
        <v>250</v>
      </c>
      <c r="O4" s="2">
        <v>250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f t="shared" si="0"/>
        <v>500</v>
      </c>
    </row>
    <row r="5" spans="1:25" ht="25">
      <c r="A5" s="2" t="s">
        <v>45</v>
      </c>
      <c r="B5" s="2"/>
      <c r="C5" s="2"/>
      <c r="D5" s="2" t="s">
        <v>46</v>
      </c>
      <c r="E5" s="2" t="s">
        <v>35</v>
      </c>
      <c r="F5" s="2">
        <v>4</v>
      </c>
      <c r="G5" s="2"/>
      <c r="H5" s="2" t="s">
        <v>37</v>
      </c>
      <c r="I5" s="2"/>
      <c r="J5" s="2" t="s">
        <v>38</v>
      </c>
      <c r="K5" s="3">
        <v>32480</v>
      </c>
      <c r="L5" s="2">
        <v>3390</v>
      </c>
      <c r="M5" s="2" t="s">
        <v>31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f t="shared" si="0"/>
        <v>1</v>
      </c>
    </row>
    <row r="6" spans="1:25" ht="25">
      <c r="A6" s="6">
        <v>46172</v>
      </c>
      <c r="B6" s="2"/>
      <c r="C6" s="2">
        <v>1</v>
      </c>
      <c r="D6" s="2" t="s">
        <v>47</v>
      </c>
      <c r="E6" s="2" t="s">
        <v>35</v>
      </c>
      <c r="F6" s="2">
        <v>6</v>
      </c>
      <c r="G6" s="2" t="s">
        <v>48</v>
      </c>
      <c r="H6" s="2" t="s">
        <v>49</v>
      </c>
      <c r="I6" s="2"/>
      <c r="J6" s="2" t="s">
        <v>50</v>
      </c>
      <c r="K6" s="2" t="s">
        <v>51</v>
      </c>
      <c r="L6" s="2">
        <v>3390</v>
      </c>
      <c r="M6" s="2" t="s">
        <v>31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>
        <f t="shared" si="0"/>
        <v>0</v>
      </c>
    </row>
    <row r="7" spans="1:25" ht="25">
      <c r="A7" s="6">
        <v>46173</v>
      </c>
      <c r="B7" s="2"/>
      <c r="C7" s="2">
        <v>1</v>
      </c>
      <c r="D7" s="2" t="s">
        <v>52</v>
      </c>
      <c r="E7" s="2" t="s">
        <v>35</v>
      </c>
      <c r="F7" s="2">
        <v>6</v>
      </c>
      <c r="G7" s="2" t="s">
        <v>48</v>
      </c>
      <c r="H7" s="2" t="s">
        <v>49</v>
      </c>
      <c r="I7" s="2"/>
      <c r="J7" s="2" t="s">
        <v>50</v>
      </c>
      <c r="K7" s="2" t="s">
        <v>51</v>
      </c>
      <c r="L7" s="2">
        <v>3390</v>
      </c>
      <c r="M7" s="2" t="s">
        <v>31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f t="shared" si="0"/>
        <v>0</v>
      </c>
    </row>
    <row r="8" spans="1:25" ht="37.5">
      <c r="A8" s="2" t="s">
        <v>53</v>
      </c>
      <c r="B8" s="2"/>
      <c r="C8" s="2">
        <v>1</v>
      </c>
      <c r="D8" s="2" t="s">
        <v>54</v>
      </c>
      <c r="E8" s="2" t="s">
        <v>55</v>
      </c>
      <c r="F8" s="2"/>
      <c r="G8" s="2"/>
      <c r="H8" s="2"/>
      <c r="I8" s="2"/>
      <c r="J8" s="2" t="s">
        <v>56</v>
      </c>
      <c r="K8" s="2" t="s">
        <v>57</v>
      </c>
      <c r="L8" s="2">
        <v>3390</v>
      </c>
      <c r="M8" s="2" t="s">
        <v>31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>
        <f t="shared" si="0"/>
        <v>0</v>
      </c>
    </row>
    <row r="9" spans="1:25" ht="75">
      <c r="A9" s="6">
        <v>46171</v>
      </c>
      <c r="B9" s="2"/>
      <c r="C9" s="2">
        <v>1</v>
      </c>
      <c r="D9" s="2" t="s">
        <v>58</v>
      </c>
      <c r="E9" s="2" t="s">
        <v>59</v>
      </c>
      <c r="F9" s="2">
        <v>1</v>
      </c>
      <c r="G9" s="2"/>
      <c r="H9" s="2" t="s">
        <v>37</v>
      </c>
      <c r="I9" s="2"/>
      <c r="J9" s="2" t="s">
        <v>60</v>
      </c>
      <c r="K9" s="2" t="s">
        <v>61</v>
      </c>
      <c r="L9" s="2">
        <v>3390</v>
      </c>
      <c r="M9" s="2" t="s">
        <v>31</v>
      </c>
      <c r="N9" s="2">
        <v>84</v>
      </c>
      <c r="O9" s="2">
        <v>10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f t="shared" si="0"/>
        <v>94</v>
      </c>
    </row>
    <row r="10" spans="1:25" ht="62.5">
      <c r="A10" s="6">
        <v>46171</v>
      </c>
      <c r="B10" s="2"/>
      <c r="C10" s="2">
        <v>1</v>
      </c>
      <c r="D10" s="2" t="s">
        <v>62</v>
      </c>
      <c r="E10" s="2" t="s">
        <v>63</v>
      </c>
      <c r="F10" s="2">
        <v>1</v>
      </c>
      <c r="G10" s="2"/>
      <c r="H10" s="2" t="s">
        <v>37</v>
      </c>
      <c r="I10" s="2"/>
      <c r="J10" s="2" t="s">
        <v>60</v>
      </c>
      <c r="K10" s="2" t="s">
        <v>57</v>
      </c>
      <c r="L10" s="2">
        <v>3390</v>
      </c>
      <c r="M10" s="2" t="s">
        <v>31</v>
      </c>
      <c r="N10" s="2">
        <v>35</v>
      </c>
      <c r="O10" s="2">
        <v>35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f t="shared" si="0"/>
        <v>70</v>
      </c>
    </row>
    <row r="11" spans="1:25" ht="25">
      <c r="A11" s="6">
        <v>46129</v>
      </c>
      <c r="B11" s="2"/>
      <c r="C11" s="2">
        <v>1</v>
      </c>
      <c r="D11" s="2" t="s">
        <v>64</v>
      </c>
      <c r="E11" s="2" t="s">
        <v>65</v>
      </c>
      <c r="F11" s="2"/>
      <c r="G11" s="2"/>
      <c r="H11" s="2" t="s">
        <v>66</v>
      </c>
      <c r="I11" s="2"/>
      <c r="J11" s="2" t="s">
        <v>60</v>
      </c>
      <c r="K11" s="2" t="s">
        <v>67</v>
      </c>
      <c r="L11" s="2">
        <v>3390</v>
      </c>
      <c r="M11" s="2" t="s">
        <v>31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f t="shared" si="0"/>
        <v>0</v>
      </c>
    </row>
    <row r="12" spans="1:25" ht="25">
      <c r="A12" s="2"/>
      <c r="B12" s="2"/>
      <c r="C12" s="2">
        <v>5</v>
      </c>
      <c r="D12" s="2" t="s">
        <v>68</v>
      </c>
      <c r="E12" s="2" t="s">
        <v>35</v>
      </c>
      <c r="F12" s="2"/>
      <c r="G12" s="2"/>
      <c r="H12" s="2"/>
      <c r="I12" s="2"/>
      <c r="J12" s="2" t="s">
        <v>69</v>
      </c>
      <c r="K12" s="2" t="s">
        <v>70</v>
      </c>
      <c r="L12" s="2">
        <v>3390</v>
      </c>
      <c r="M12" s="2" t="s">
        <v>31</v>
      </c>
      <c r="N12" s="2">
        <v>6</v>
      </c>
      <c r="O12" s="2">
        <v>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f t="shared" si="0"/>
        <v>11</v>
      </c>
    </row>
    <row r="13" spans="1:25" ht="25">
      <c r="A13" s="2" t="s">
        <v>71</v>
      </c>
      <c r="B13" s="2"/>
      <c r="C13" s="2">
        <v>1</v>
      </c>
      <c r="D13" s="2" t="s">
        <v>72</v>
      </c>
      <c r="E13" s="2" t="s">
        <v>35</v>
      </c>
      <c r="F13" s="2"/>
      <c r="G13" s="2"/>
      <c r="H13" s="2" t="s">
        <v>73</v>
      </c>
      <c r="I13" s="2"/>
      <c r="J13" s="2" t="s">
        <v>38</v>
      </c>
      <c r="K13" s="2" t="s">
        <v>74</v>
      </c>
      <c r="L13" s="2">
        <v>3390</v>
      </c>
      <c r="M13" s="2" t="s">
        <v>31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1067</v>
      </c>
      <c r="W13" s="2">
        <v>1068</v>
      </c>
      <c r="X13" s="2">
        <v>0</v>
      </c>
      <c r="Y13" s="2">
        <f t="shared" si="0"/>
        <v>2135</v>
      </c>
    </row>
    <row r="14" spans="1:25" ht="75">
      <c r="A14" s="8" t="s">
        <v>75</v>
      </c>
      <c r="B14" s="2"/>
      <c r="C14" s="2"/>
      <c r="D14" s="2" t="s">
        <v>76</v>
      </c>
      <c r="E14" s="2" t="s">
        <v>35</v>
      </c>
      <c r="F14" s="2">
        <v>17</v>
      </c>
      <c r="G14" s="2"/>
      <c r="H14" s="2"/>
      <c r="I14" s="2"/>
      <c r="J14" s="2" t="s">
        <v>38</v>
      </c>
      <c r="K14" s="2" t="s">
        <v>77</v>
      </c>
      <c r="L14" s="2">
        <v>3390</v>
      </c>
      <c r="M14" s="2" t="s">
        <v>31</v>
      </c>
      <c r="N14" s="2">
        <v>544</v>
      </c>
      <c r="O14" s="2">
        <v>545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f t="shared" si="0"/>
        <v>1089</v>
      </c>
    </row>
    <row r="15" spans="1:25" ht="25">
      <c r="A15" s="11">
        <v>46220</v>
      </c>
      <c r="B15" s="12"/>
      <c r="C15" s="2"/>
      <c r="D15" s="2" t="s">
        <v>106</v>
      </c>
      <c r="E15" s="12"/>
      <c r="F15" s="12">
        <v>30</v>
      </c>
      <c r="G15" s="12"/>
      <c r="H15" s="12"/>
      <c r="I15" s="12"/>
      <c r="J15" s="2" t="s">
        <v>78</v>
      </c>
      <c r="K15" s="9">
        <v>5602684</v>
      </c>
      <c r="L15" s="2">
        <v>4440</v>
      </c>
      <c r="M15" s="2" t="s">
        <v>31</v>
      </c>
      <c r="N15" s="2">
        <v>14</v>
      </c>
      <c r="O15" s="2">
        <v>16</v>
      </c>
      <c r="P15" s="12"/>
      <c r="Q15" s="12"/>
      <c r="R15" s="12"/>
      <c r="S15" s="12"/>
      <c r="T15" s="12"/>
      <c r="U15" s="12"/>
      <c r="V15" s="12"/>
      <c r="W15" s="12"/>
      <c r="X15" s="12"/>
      <c r="Y15" s="2">
        <f t="shared" si="0"/>
        <v>30</v>
      </c>
    </row>
    <row r="16" spans="1:25" ht="25">
      <c r="A16" s="11">
        <v>46220</v>
      </c>
      <c r="B16" s="12"/>
      <c r="C16" s="2"/>
      <c r="D16" s="2" t="s">
        <v>106</v>
      </c>
      <c r="E16" s="12"/>
      <c r="F16" s="12">
        <v>13</v>
      </c>
      <c r="G16" s="12"/>
      <c r="H16" s="12"/>
      <c r="I16" s="12"/>
      <c r="J16" s="12" t="s">
        <v>107</v>
      </c>
      <c r="K16" s="13">
        <v>397316</v>
      </c>
      <c r="L16" s="2">
        <v>4440</v>
      </c>
      <c r="M16" s="2" t="s">
        <v>31</v>
      </c>
      <c r="N16" s="2">
        <v>5</v>
      </c>
      <c r="O16" s="2">
        <v>8</v>
      </c>
      <c r="P16" s="12"/>
      <c r="Q16" s="12"/>
      <c r="R16" s="12"/>
      <c r="S16" s="12"/>
      <c r="T16" s="12"/>
      <c r="U16" s="12"/>
      <c r="V16" s="12"/>
      <c r="W16" s="12"/>
      <c r="X16" s="12"/>
      <c r="Y16" s="2">
        <f t="shared" si="0"/>
        <v>13</v>
      </c>
    </row>
    <row r="17" spans="1:25" ht="25">
      <c r="A17" s="8" t="s">
        <v>45</v>
      </c>
      <c r="B17" s="12"/>
      <c r="C17" s="2"/>
      <c r="D17" s="2" t="s">
        <v>79</v>
      </c>
      <c r="E17" s="12" t="s">
        <v>35</v>
      </c>
      <c r="F17" s="12">
        <v>6</v>
      </c>
      <c r="G17" s="12"/>
      <c r="H17" s="12"/>
      <c r="I17" s="12"/>
      <c r="J17" s="2" t="s">
        <v>78</v>
      </c>
      <c r="K17" s="13">
        <v>111360</v>
      </c>
      <c r="L17" s="2">
        <v>3390</v>
      </c>
      <c r="M17" s="2" t="s">
        <v>31</v>
      </c>
      <c r="N17" s="2">
        <v>5</v>
      </c>
      <c r="O17" s="2">
        <v>1</v>
      </c>
      <c r="P17" s="12"/>
      <c r="Q17" s="12"/>
      <c r="R17" s="12"/>
      <c r="S17" s="12"/>
      <c r="T17" s="12"/>
      <c r="U17" s="12"/>
      <c r="V17" s="12"/>
      <c r="W17" s="12"/>
      <c r="X17" s="12"/>
      <c r="Y17" s="2">
        <f t="shared" si="0"/>
        <v>6</v>
      </c>
    </row>
    <row r="18" spans="1:25" ht="25">
      <c r="A18" s="8" t="s">
        <v>71</v>
      </c>
      <c r="B18" s="12"/>
      <c r="C18" s="12"/>
      <c r="D18" s="2" t="s">
        <v>80</v>
      </c>
      <c r="E18" s="12"/>
      <c r="F18" s="12">
        <v>1</v>
      </c>
      <c r="G18" s="12"/>
      <c r="H18" s="12"/>
      <c r="I18" s="12"/>
      <c r="J18" s="2" t="s">
        <v>81</v>
      </c>
      <c r="K18" s="13">
        <v>100000</v>
      </c>
      <c r="L18" s="2">
        <v>4440</v>
      </c>
      <c r="M18" s="10" t="s">
        <v>31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2">
        <f t="shared" si="0"/>
        <v>0</v>
      </c>
    </row>
    <row r="19" spans="1:25" ht="37.5">
      <c r="A19" s="8" t="s">
        <v>82</v>
      </c>
      <c r="B19" s="12"/>
      <c r="C19" s="12">
        <v>8</v>
      </c>
      <c r="D19" s="2" t="s">
        <v>83</v>
      </c>
      <c r="E19" s="2" t="s">
        <v>84</v>
      </c>
      <c r="F19" s="12"/>
      <c r="G19" s="12"/>
      <c r="H19" s="12"/>
      <c r="I19" s="12"/>
      <c r="J19" s="2" t="s">
        <v>69</v>
      </c>
      <c r="K19" s="13">
        <v>69600</v>
      </c>
      <c r="L19" s="2">
        <v>3390</v>
      </c>
      <c r="M19" s="10" t="s">
        <v>31</v>
      </c>
      <c r="N19" s="12">
        <v>19</v>
      </c>
      <c r="O19" s="10">
        <v>24</v>
      </c>
      <c r="P19" s="12"/>
      <c r="Q19" s="12"/>
      <c r="R19" s="12"/>
      <c r="S19" s="12"/>
      <c r="T19" s="12"/>
      <c r="U19" s="12"/>
      <c r="V19" s="12"/>
      <c r="W19" s="12"/>
      <c r="X19" s="12"/>
      <c r="Y19" s="2">
        <f t="shared" si="0"/>
        <v>43</v>
      </c>
    </row>
    <row r="20" spans="1:25" ht="37.5">
      <c r="A20" s="2" t="s">
        <v>85</v>
      </c>
      <c r="B20" s="12"/>
      <c r="C20" s="12">
        <v>1</v>
      </c>
      <c r="D20" s="2" t="s">
        <v>83</v>
      </c>
      <c r="E20" s="2" t="s">
        <v>86</v>
      </c>
      <c r="F20" s="12"/>
      <c r="G20" s="12"/>
      <c r="H20" s="12"/>
      <c r="I20" s="12"/>
      <c r="J20" s="2" t="s">
        <v>69</v>
      </c>
      <c r="K20" s="3" t="s">
        <v>87</v>
      </c>
      <c r="L20" s="12">
        <v>3390</v>
      </c>
      <c r="M20" s="8" t="s">
        <v>31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2">
        <f t="shared" si="0"/>
        <v>0</v>
      </c>
    </row>
    <row r="21" spans="1:25" ht="37.5">
      <c r="A21" s="2" t="s">
        <v>88</v>
      </c>
      <c r="B21" s="12"/>
      <c r="C21" s="12"/>
      <c r="D21" s="2" t="s">
        <v>89</v>
      </c>
      <c r="E21" s="2" t="s">
        <v>90</v>
      </c>
      <c r="F21" s="12"/>
      <c r="G21" s="12"/>
      <c r="H21" s="12"/>
      <c r="I21" s="12"/>
      <c r="J21" s="2" t="s">
        <v>29</v>
      </c>
      <c r="K21" s="3">
        <v>263534.59999999998</v>
      </c>
      <c r="L21" s="12">
        <v>3390</v>
      </c>
      <c r="M21" s="8" t="s">
        <v>31</v>
      </c>
      <c r="N21" s="12"/>
      <c r="O21" s="12"/>
      <c r="P21" s="12"/>
      <c r="Q21" s="12"/>
      <c r="R21" s="12"/>
      <c r="S21" s="12"/>
      <c r="T21" s="12"/>
      <c r="U21" s="12"/>
      <c r="V21" s="12">
        <v>51</v>
      </c>
      <c r="W21" s="12">
        <v>50</v>
      </c>
      <c r="X21" s="12"/>
      <c r="Y21" s="2">
        <f t="shared" si="0"/>
        <v>101</v>
      </c>
    </row>
    <row r="22" spans="1:25" ht="37.5">
      <c r="A22" s="2" t="s">
        <v>88</v>
      </c>
      <c r="B22" s="12"/>
      <c r="C22" s="12"/>
      <c r="D22" s="2" t="s">
        <v>91</v>
      </c>
      <c r="E22" s="2" t="s">
        <v>84</v>
      </c>
      <c r="F22" s="12"/>
      <c r="G22" s="12"/>
      <c r="H22" s="12"/>
      <c r="I22" s="12"/>
      <c r="J22" s="2" t="s">
        <v>38</v>
      </c>
      <c r="K22" s="3">
        <v>1129527.77</v>
      </c>
      <c r="L22" s="12">
        <v>3390</v>
      </c>
      <c r="M22" s="8" t="s">
        <v>31</v>
      </c>
      <c r="N22" s="12"/>
      <c r="O22" s="12"/>
      <c r="P22" s="12"/>
      <c r="Q22" s="12"/>
      <c r="R22" s="12"/>
      <c r="S22" s="12"/>
      <c r="T22" s="12"/>
      <c r="U22" s="12"/>
      <c r="V22" s="2">
        <v>1067</v>
      </c>
      <c r="W22" s="2">
        <v>1068</v>
      </c>
      <c r="X22" s="12"/>
      <c r="Y22" s="2">
        <f t="shared" si="0"/>
        <v>2135</v>
      </c>
    </row>
    <row r="23" spans="1:25" ht="25">
      <c r="A23" s="8" t="s">
        <v>92</v>
      </c>
      <c r="B23" s="12"/>
      <c r="C23" s="12">
        <v>3</v>
      </c>
      <c r="D23" s="2" t="s">
        <v>93</v>
      </c>
      <c r="E23" s="8" t="s">
        <v>35</v>
      </c>
      <c r="F23" s="12"/>
      <c r="G23" s="12"/>
      <c r="H23" s="12"/>
      <c r="I23" s="12"/>
      <c r="J23" s="8" t="s">
        <v>94</v>
      </c>
      <c r="K23" s="13">
        <v>139200</v>
      </c>
      <c r="L23" s="12">
        <v>3390</v>
      </c>
      <c r="M23" s="8" t="s">
        <v>31</v>
      </c>
      <c r="N23" s="12">
        <v>10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2">
        <f t="shared" si="0"/>
        <v>10</v>
      </c>
    </row>
    <row r="24" spans="1:25" ht="87.5">
      <c r="A24" s="8" t="s">
        <v>95</v>
      </c>
      <c r="B24" s="12"/>
      <c r="C24" s="12">
        <v>1</v>
      </c>
      <c r="D24" s="2" t="s">
        <v>96</v>
      </c>
      <c r="E24" s="2" t="s">
        <v>97</v>
      </c>
      <c r="F24" s="12"/>
      <c r="G24" s="12"/>
      <c r="H24" s="12"/>
      <c r="I24" s="12"/>
      <c r="J24" s="12" t="s">
        <v>81</v>
      </c>
      <c r="K24" s="3">
        <v>32500</v>
      </c>
      <c r="L24" s="12">
        <v>4440</v>
      </c>
      <c r="M24" s="8" t="s">
        <v>31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2">
        <f t="shared" si="0"/>
        <v>0</v>
      </c>
    </row>
    <row r="25" spans="1:25" ht="37.5">
      <c r="A25" s="2" t="s">
        <v>98</v>
      </c>
      <c r="B25" s="12"/>
      <c r="C25" s="12">
        <v>1</v>
      </c>
      <c r="D25" s="2" t="s">
        <v>99</v>
      </c>
      <c r="E25" s="2" t="s">
        <v>100</v>
      </c>
      <c r="F25" s="12"/>
      <c r="G25" s="12"/>
      <c r="H25" s="12"/>
      <c r="I25" s="12"/>
      <c r="J25" s="12" t="s">
        <v>81</v>
      </c>
      <c r="K25" s="3">
        <v>85000</v>
      </c>
      <c r="L25" s="12">
        <v>4440</v>
      </c>
      <c r="M25" s="8" t="s">
        <v>31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2">
        <f t="shared" si="0"/>
        <v>0</v>
      </c>
    </row>
    <row r="26" spans="1:25" ht="37.5">
      <c r="A26" s="2" t="s">
        <v>101</v>
      </c>
      <c r="B26" s="12"/>
      <c r="C26" s="12">
        <v>1</v>
      </c>
      <c r="D26" s="2" t="s">
        <v>99</v>
      </c>
      <c r="E26" s="2" t="s">
        <v>102</v>
      </c>
      <c r="F26" s="12"/>
      <c r="G26" s="12"/>
      <c r="H26" s="12"/>
      <c r="I26" s="12"/>
      <c r="J26" s="12" t="s">
        <v>81</v>
      </c>
      <c r="K26" s="3">
        <v>15000</v>
      </c>
      <c r="L26" s="12">
        <v>4440</v>
      </c>
      <c r="M26" s="8" t="s">
        <v>31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2">
        <f t="shared" si="0"/>
        <v>0</v>
      </c>
    </row>
    <row r="27" spans="1:25" ht="162.5">
      <c r="A27" s="8" t="s">
        <v>103</v>
      </c>
      <c r="B27" s="12"/>
      <c r="C27" s="12">
        <v>1</v>
      </c>
      <c r="D27" s="2" t="s">
        <v>104</v>
      </c>
      <c r="E27" s="8" t="s">
        <v>108</v>
      </c>
      <c r="F27" s="12"/>
      <c r="G27" s="12"/>
      <c r="H27" s="12"/>
      <c r="I27" s="12"/>
      <c r="J27" s="8" t="s">
        <v>105</v>
      </c>
      <c r="K27" s="13">
        <v>6336</v>
      </c>
      <c r="L27" s="12">
        <v>4440</v>
      </c>
      <c r="M27" s="8" t="s">
        <v>31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2">
        <f t="shared" si="0"/>
        <v>0</v>
      </c>
    </row>
  </sheetData>
  <dataValidations count="3">
    <dataValidation type="list" allowBlank="1" showErrorMessage="1" sqref="J2:J15 J17">
      <formula1>"QC4139.2601,QC4140.2601,QC4140.2602,QC4140.2603,QC4142.2601,QC4142.2602,QC4142.2603,QC4102.2601,QC4102.2602"</formula1>
    </dataValidation>
    <dataValidation type="list" allowBlank="1" showErrorMessage="1" sqref="I2:I14">
      <formula1>"SI,NO"</formula1>
    </dataValidation>
    <dataValidation type="list" allowBlank="1" showErrorMessage="1" sqref="M2:M16">
      <formula1>"DGPA,DGEP,FORUM,DGMAVE,SDPAC"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iec940202@hotmail.com</dc:creator>
  <cp:lastModifiedBy>iec940202@hotmail.com</cp:lastModifiedBy>
  <dcterms:created xsi:type="dcterms:W3CDTF">2026-10-26T23:32:46Z</dcterms:created>
  <dcterms:modified xsi:type="dcterms:W3CDTF">2026-10-26T23:40:15Z</dcterms:modified>
</cp:coreProperties>
</file>